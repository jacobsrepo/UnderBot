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07 parts" sheetId="1" r:id="rId1"/>
    <sheet name="Note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Original owned-item valuation, not a current quote. Supply capacity includes peripherals; not measured Pi consumption.
https://www.raspberrypi.com/documentation/computers/raspberry-pi.html</t>
        </r>
      </text>
    </comment>
    <comment ref="B3" authorId="0">
      <text>
        <r>
          <rPr>
            <sz val="8"/>
            <color indexed="81"/>
            <rFont val="Tahoma"/>
            <family val="2"/>
          </rPr>
          <t>Price from user Amazon screenshot incl. VAT. Complete acrylic kit, six AD002 servos and controller. Assembly required. Verify lifting capability with sample. Official controller docs say VIN6-24V; verify delivered revision and block USB VBUS backfeed before external power.
https://www.adeept.com/learn/detail-64.html</t>
        </r>
      </text>
    </comment>
    <comment ref="B4" authorId="0">
      <text>
        <r>
          <rPr>
            <sz val="8"/>
            <color indexed="81"/>
            <rFont val="Tahoma"/>
            <family val="2"/>
          </rPr>
          <t>Not funded initially. Can revisit after one-arm testing; do not buy Waveshare based on the historical list.
https://www.adeept.com/learn/detail-64.html</t>
        </r>
      </text>
    </comment>
    <comment ref="B5" authorId="0">
      <text>
        <r>
          <rPr>
            <sz val="8"/>
            <color indexed="81"/>
            <rFont val="Tahoma"/>
            <family val="2"/>
          </rPr>
          <t>€112 is original allowance, not a verified offer. Add only for a supported workload after Pi testing.
https://www.raspberrypi.com/products/ai-hat/</t>
        </r>
      </text>
    </comment>
    <comment ref="B6" authorId="0">
      <text>
        <r>
          <rPr>
            <sz val="8"/>
            <color indexed="81"/>
            <rFont val="Tahoma"/>
            <family val="2"/>
          </rPr>
          <t xml:space="preserve">€20 spending allowance, NOT the original €65 finished enclosure. Check T12 payload, wheel traction, centre of gravity and tipping with arm extended. Does not guarantee the illustrated enclosure.
</t>
        </r>
      </text>
    </comment>
    <comment ref="B7" authorId="0">
      <text>
        <r>
          <rPr>
            <sz val="8"/>
            <color indexed="81"/>
            <rFont val="Tahoma"/>
            <family val="2"/>
          </rPr>
          <t xml:space="preserve">Use T12 drivetrain initially. Four separate wheel motors are not part of this architecture.
</t>
        </r>
      </text>
    </comment>
    <comment ref="B8" authorId="0">
      <text>
        <r>
          <rPr>
            <sz val="8"/>
            <color indexed="81"/>
            <rFont val="Tahoma"/>
            <family val="2"/>
          </rPr>
          <t xml:space="preserve">Do not connect extra drivers in parallel with OEM motor drivers. Replacement would require motor current, encoder and control characterization.
</t>
        </r>
      </text>
    </comment>
    <comment ref="B9" authorId="0">
      <text>
        <r>
          <rPr>
            <sz val="8"/>
            <color indexed="81"/>
            <rFont val="Tahoma"/>
            <family val="2"/>
          </rPr>
          <t>€50 is your allowance, not a sourced offer. It was NOT marked X. Require working original battery, wheels, LiDAR and dock. OEM command/LiDAR access is not yet established; do not buy just assuming ROS access. Keep original power system separate.
https://www.mi.com/de/product/xiaomi-robot-vacuum-t12/specs/</t>
        </r>
      </text>
    </comment>
    <comment ref="B10" authorId="0">
      <text>
        <r>
          <rPr>
            <sz val="8"/>
            <color indexed="81"/>
            <rFont val="Tahoma"/>
            <family val="2"/>
          </rPr>
          <t xml:space="preserve">User selected NOCO GB70 plus T12 original battery. No loose cells or BMS purchase required.
</t>
        </r>
      </text>
    </comment>
    <comment ref="B11" authorId="0">
      <text>
        <r>
          <rPr>
            <sz val="8"/>
            <color indexed="81"/>
            <rFont val="Tahoma"/>
            <family val="2"/>
          </rPr>
          <t xml:space="preserve">EUR60 engineering allowance, not a complete priced stop system. Includes fused distribution, disconnect and arm stop/reset hardware. Independent T12 drive stop and arm torque-loss behaviour unresolved; NO free-moving release until resolved.
</t>
        </r>
      </text>
    </comment>
    <comment ref="B12" authorId="0">
      <text>
        <r>
          <rPr>
            <sz val="8"/>
            <color indexed="81"/>
            <rFont val="Tahoma"/>
            <family val="2"/>
          </rPr>
          <t xml:space="preserve">€20 allowance. No Dupont leads for motor/arm/Pi power. Include appropriately rated GPIO power connection if using the proposed Pi converter.
</t>
        </r>
      </text>
    </comment>
    <comment ref="B13" authorId="0">
      <text>
        <r>
          <rPr>
            <sz val="8"/>
            <color indexed="81"/>
            <rFont val="Tahoma"/>
            <family val="2"/>
          </rPr>
          <t>Use existing camera. Do not manually apply 5 V to CSI pins.
https://www.raspberrypi.com/documentation/accessories/camera.html</t>
        </r>
      </text>
    </comment>
    <comment ref="B14" authorId="0">
      <text>
        <r>
          <rPr>
            <sz val="8"/>
            <color indexed="81"/>
            <rFont val="Tahoma"/>
            <family val="2"/>
          </rPr>
          <t>EUR35 landed-cost allowance; vendor lists USD22.94 before destination charges. GB70 nominal12V feeds DC input; use included USB-C output cable. Vendor barrel dimensions conflict, verify physical connector. NO simultaneous alternative power input. No GPIO power injection required.
https://52pi.com/products/52pi-pd-power-extension-adapter-board-for-raspberry-pi-5</t>
        </r>
      </text>
    </comment>
    <comment ref="B15" authorId="0">
      <text>
        <r>
          <rPr>
            <sz val="8"/>
            <color indexed="81"/>
            <rFont val="Tahoma"/>
            <family val="2"/>
          </rPr>
          <t>EUR20 interface allowance, not another buck converter. Official archive documents VIN6-24V and internal5V regulator. Confirm delivered controller revision. USB VBUS is on5V rail: prevent backfeed and servo power through Pi USB with a qualified data-preserving VBUS-blocking interface. A charge-only cable is not suitable. Exact interface SKU pending.
https://www.adeept.com/learn/detail-64.html</t>
        </r>
      </text>
    </comment>
    <comment ref="B16" authorId="0">
      <text>
        <r>
          <rPr>
            <sz val="8"/>
            <color indexed="81"/>
            <rFont val="Tahoma"/>
            <family val="2"/>
          </rPr>
          <t xml:space="preserve">EUR15 allowance for auxiliary converter; exact SKU and servo peak current pending. Powers audio and camera pan/tilt; motor branch must follow stop. No servo power from Pi3V3.
</t>
        </r>
      </text>
    </comment>
    <comment ref="B17" authorId="0">
      <text>
        <r>
          <rPr>
            <sz val="8"/>
            <color indexed="81"/>
            <rFont val="Tahoma"/>
            <family val="2"/>
          </rPr>
          <t xml:space="preserve">Original €30 was not a validated complete solar charging system. Use mains charging first. No roof solar, dock solar station or supercap bank in phase 1.
</t>
        </r>
      </text>
    </comment>
    <comment ref="B18" authorId="0">
      <text>
        <r>
          <rPr>
            <sz val="8"/>
            <color indexed="81"/>
            <rFont val="Tahoma"/>
            <family val="2"/>
          </rPr>
          <t>€20 per board allowance, not an EU quote. Use T12 sensors first only where accessible and validated. Additional ToF useful for arm-height obstacles; LiDAR does not cover everything.
https://www.pololu.com/product/3415</t>
        </r>
      </text>
    </comment>
    <comment ref="B19" authorId="0">
      <text>
        <r>
          <rPr>
            <sz val="8"/>
            <color indexed="81"/>
            <rFont val="Tahoma"/>
            <family val="2"/>
          </rPr>
          <t xml:space="preserve">Original valuation. Test USB power and bandwidth with Kinect; USB port count alone does not establish compatibility.
</t>
        </r>
      </text>
    </comment>
    <comment ref="B20" authorId="0">
      <text>
        <r>
          <rPr>
            <sz val="8"/>
            <color indexed="81"/>
            <rFont val="Tahoma"/>
            <family val="2"/>
          </rPr>
          <t xml:space="preserve">Use NOCO specified charging equipment and OEM T12 dock, independently. Confirm existing accessories; any missing charger costs extra.
</t>
        </r>
      </text>
    </comment>
    <comment ref="B21" authorId="0">
      <text>
        <r>
          <rPr>
            <sz val="8"/>
            <color indexed="81"/>
            <rFont val="Tahoma"/>
            <family val="2"/>
          </rPr>
          <t xml:space="preserve">EUR20 allowance, now funded; exact compatible microphone model still to select.
</t>
        </r>
      </text>
    </comment>
    <comment ref="B22" authorId="0">
      <text>
        <r>
          <rPr>
            <sz val="8"/>
            <color indexed="81"/>
            <rFont val="Tahoma"/>
            <family val="2"/>
          </rPr>
          <t xml:space="preserve">Only light Pi camera; NOT Kinect v2. Auxiliary power and PWM/stop wiring are design holds.
</t>
        </r>
      </text>
    </comment>
    <comment ref="B23" authorId="0">
      <text>
        <r>
          <rPr>
            <sz val="8"/>
            <color indexed="81"/>
            <rFont val="Tahoma"/>
            <family val="2"/>
          </rPr>
          <t>Two3W speaker outputs are not DC input consumption. I2S pins and aux supply to be finalized. Bridged speaker outputs must not be grounded.
https://www.analog.com/en/products/max98357a.html</t>
        </r>
      </text>
    </comment>
    <comment ref="B24" authorId="0">
      <text>
        <r>
          <rPr>
            <sz val="8"/>
            <color indexed="81"/>
            <rFont val="Tahoma"/>
            <family val="2"/>
          </rPr>
          <t>Arms include their own controller, so do not buy another controller just for arm operation. Uno may control later pan/tilt; 5 V signals need compatibility checks before Pi/3.3 V sensors.
https://store.arduino.cc/products/arduino-uno-rev3</t>
        </r>
      </text>
    </comment>
    <comment ref="B25" authorId="0">
      <text>
        <r>
          <rPr>
            <sz val="8"/>
            <color indexed="81"/>
            <rFont val="Tahoma"/>
            <family val="2"/>
          </rPr>
          <t>Two boards now funded at prior EUR14.90 listing each; that listing was unavailable, so price/stock needs reconfirmation or verified substitute. Addresses0x68/0x69. Use3.3V VIN with Pi. Camera IMU follows light Pi camera pan/tilt, not a presumed moving Kinect.
https://www.berrybase.de/fr/adafruit-tdk-invensense-icm-20948-9-dof-imu-mpu-9250-upgrade</t>
        </r>
      </text>
    </comment>
    <comment ref="B26" authorId="0">
      <text>
        <r>
          <rPr>
            <sz val="8"/>
            <color indexed="81"/>
            <rFont val="Tahoma"/>
            <family val="2"/>
          </rPr>
          <t xml:space="preserve">EUR5 allowance. Reserve for four identical ToF addresses; use short branch wiring. Exact carrier/pull-ups and XSHUT strategy still to select.
</t>
        </r>
      </text>
    </comment>
    <comment ref="B27" authorId="0">
      <text>
        <r>
          <rPr>
            <sz val="8"/>
            <color indexed="81"/>
            <rFont val="Tahoma"/>
            <family val="2"/>
          </rPr>
          <t>€8 allowance. Do not run whole-pack current through an unqualified small breakout shunt. Independent of I2C mux; split original combined row.
https://www.ti.com/product/INA226</t>
        </r>
      </text>
    </comment>
    <comment ref="B28" authorId="0">
      <text>
        <r>
          <rPr>
            <sz val="8"/>
            <color indexed="81"/>
            <rFont val="Tahoma"/>
            <family val="2"/>
          </rPr>
          <t>Verified €5.90 incl. VAT from linked retailer listing; shipping extra.
https://www.berrybase.de/en/waveshare-roarm-m2-s-roboterarm-esp32-4dof-3600-basis-0-5kg-traglast-12v-wifi-uart</t>
        </r>
      </text>
    </comment>
    <comment ref="B29" authorId="0">
      <text>
        <r>
          <rPr>
            <sz val="8"/>
            <color indexed="81"/>
            <rFont val="Tahoma"/>
            <family val="2"/>
          </rPr>
          <t>€10 is your used-sensor target, not a sourced bundle. Version v2 replaces all earlier v1 choices. USB 3 connection via v2-specific adapter, NOT CSI. Fixed mount. libfreenect2/Pi 5 throughput must be tested; no promise of full-rate performance.
https://github.com/OpenKinect/libfreenect2</t>
        </r>
      </text>
    </comment>
    <comment ref="B30" authorId="0">
      <text>
        <r>
          <rPr>
            <sz val="8"/>
            <color indexed="81"/>
            <rFont val="Tahoma"/>
            <family val="2"/>
          </rPr>
          <t xml:space="preserve">€40 allowance, not a current offer. Adapter/PSU/cable may come as a bundle; do not double-buy. Future battery conversion also requires a separate adequate 12 V branch; not funded here.
</t>
        </r>
      </text>
    </comment>
    <comment ref="B31" authorId="0">
      <text>
        <r>
          <rPr>
            <sz val="8"/>
            <color indexed="81"/>
            <rFont val="Tahoma"/>
            <family val="2"/>
          </rPr>
          <t xml:space="preserve">€4 allowance. Remove this purchase if the correct cable is already present; do not use a Pi 4 cable without the correct Pi 5 end.
</t>
        </r>
      </text>
    </comment>
    <comment ref="B32" authorId="0">
      <text>
        <r>
          <rPr>
            <sz val="8"/>
            <color indexed="81"/>
            <rFont val="Tahoma"/>
            <family val="2"/>
          </rPr>
          <t xml:space="preserve">Only12V OUT and approved accessory cable. No jump clamps; no new battery purchase.
</t>
        </r>
      </text>
    </comment>
    <comment ref="B33" authorId="0">
      <text>
        <r>
          <rPr>
            <sz val="8"/>
            <color indexed="81"/>
            <rFont val="Tahoma"/>
            <family val="2"/>
          </rPr>
          <t xml:space="preserve">EUR15 allowance; remove if all required adapters already owned. Do not cut GB70 cables.
</t>
        </r>
      </text>
    </comment>
    <comment ref="B34" authorId="0">
      <text>
        <r>
          <rPr>
            <sz val="8"/>
            <color indexed="81"/>
            <rFont val="Tahoma"/>
            <family val="2"/>
          </rPr>
          <t xml:space="preserve">EUR35 allowance for dedicated buck-boost if GB70 output is not suitable directly. Exact model pending range/adapter qualification.
</t>
        </r>
      </text>
    </comment>
    <comment ref="B35" authorId="0">
      <text>
        <r>
          <rPr>
            <sz val="8"/>
            <color indexed="81"/>
            <rFont val="Tahoma"/>
            <family val="2"/>
          </rPr>
          <t xml:space="preserve">Funding reserve only; do not order PCB before design review and connector/thermal/stop validation.
</t>
        </r>
      </text>
    </comment>
    <comment ref="B36" authorId="0">
      <text>
        <r>
          <rPr>
            <sz val="8"/>
            <color indexed="81"/>
            <rFont val="Tahoma"/>
            <family val="2"/>
          </rPr>
          <t xml:space="preserve">Unspent allocation, not hardware. Prices except screenshot/previously checked items are allowances.
</t>
        </r>
      </text>
    </comment>
  </commentList>
</comments>
</file>

<file path=xl/sharedStrings.xml><?xml version="1.0" encoding="utf-8"?>
<sst xmlns="http://schemas.openxmlformats.org/spreadsheetml/2006/main" count="299" uniqueCount="195">
  <si>
    <t>Category</t>
  </si>
  <si>
    <t>Component</t>
  </si>
  <si>
    <t>Qty</t>
  </si>
  <si>
    <t>Unit EUR</t>
  </si>
  <si>
    <t>Subtotal EUR</t>
  </si>
  <si>
    <t>Already have?</t>
  </si>
  <si>
    <t>Phase 1 2027</t>
  </si>
  <si>
    <t>Volt</t>
  </si>
  <si>
    <t>MaxCurrent</t>
  </si>
  <si>
    <t>MaxPower</t>
  </si>
  <si>
    <t>Need?</t>
  </si>
  <si>
    <t>Compute</t>
  </si>
  <si>
    <t>Raspberry Pi 5 8 GB</t>
  </si>
  <si>
    <t>X</t>
  </si>
  <si>
    <t>5 V</t>
  </si>
  <si>
    <t>5 A supply provision</t>
  </si>
  <si>
    <t>25 W supply budget</t>
  </si>
  <si>
    <t>Yes — owned</t>
  </si>
  <si>
    <t>Arms</t>
  </si>
  <si>
    <t>Adeept ADA031 5-DOF arm kit — assemble/calibrate</t>
  </si>
  <si>
    <t>VIN6-24V documented; verify delivered board</t>
  </si>
  <si>
    <t>Stall/peak not verified</t>
  </si>
  <si>
    <t>4 W average assumption, NOT rating</t>
  </si>
  <si>
    <t>One kit first</t>
  </si>
  <si>
    <t>Second Adeept ADA031 kit — optional</t>
  </si>
  <si>
    <t>TBD</t>
  </si>
  <si>
    <t>Later</t>
  </si>
  <si>
    <t>Raspberry Pi AI HAT+ Hailo-8, 26 TOPS</t>
  </si>
  <si>
    <t>Via Pi HAT interface</t>
  </si>
  <si>
    <t>N/S</t>
  </si>
  <si>
    <t>N/S; not assumed 2 W</t>
  </si>
  <si>
    <t>Optional — later</t>
  </si>
  <si>
    <t>Structure</t>
  </si>
  <si>
    <t>Simple mounting deck, arm stiffener and fasteners; reuse materials</t>
  </si>
  <si>
    <t>—</t>
  </si>
  <si>
    <t>Yes — allowance</t>
  </si>
  <si>
    <t>Drive</t>
  </si>
  <si>
    <t>Extra 12 V encoder gearmotors — removed</t>
  </si>
  <si>
    <t>12 V (old proposal)</t>
  </si>
  <si>
    <t>Not selected</t>
  </si>
  <si>
    <t>No initially</t>
  </si>
  <si>
    <t>Cytron MDD10A — removed pending base interface tests</t>
  </si>
  <si>
    <t>Not connected</t>
  </si>
  <si>
    <t>Only if OEM control replaced</t>
  </si>
  <si>
    <t>Used Xiaomi Robot Vacuum T12, with working battery + charger/dock</t>
  </si>
  <si>
    <t>14.8 V battery; 20 V charging input</t>
  </si>
  <si>
    <t>Peak N/S</t>
  </si>
  <si>
    <t>45 W nameplate</t>
  </si>
  <si>
    <t>Yes — used-price target</t>
  </si>
  <si>
    <t>Power</t>
  </si>
  <si>
    <t>New 6S battery + BMS — removed from initial build</t>
  </si>
  <si>
    <t>Not used</t>
  </si>
  <si>
    <t>No — use owned NOCO</t>
  </si>
  <si>
    <t>DC-rated disconnect, main/branch fuses, hardwired actuator stop/reset hardware</t>
  </si>
  <si>
    <t>≥30 V DC rated on 6S side</t>
  </si>
  <si>
    <t>Coordinate with pack, wires and faults</t>
  </si>
  <si>
    <t>Not a load rating</t>
  </si>
  <si>
    <t>Essential — DESIGN/QUOTE HOLD</t>
  </si>
  <si>
    <t>Wiring</t>
  </si>
  <si>
    <t>Rated power harness, XT60/XT30, ferrules, USB data cable, strain relief</t>
  </si>
  <si>
    <t>≥30 V insulation on battery side</t>
  </si>
  <si>
    <t>Per branch; size after length/current check</t>
  </si>
  <si>
    <t>Vision</t>
  </si>
  <si>
    <t>Pi Camera Module 3 Wide / existing equivalent</t>
  </si>
  <si>
    <t>Via CSI connector</t>
  </si>
  <si>
    <t>Included in Pi branch budget</t>
  </si>
  <si>
    <t>52Pi EP-0225 Pi 5 USB-C PD supply module</t>
  </si>
  <si>
    <t>9–24 V DC in; 5.15 V PD out</t>
  </si>
  <si>
    <t>5 A PD output</t>
  </si>
  <si>
    <t>25.75 W PD output capacity</t>
  </si>
  <si>
    <t>Selected — harness check</t>
  </si>
  <si>
    <t>Adeept VIN harness + USB VBUS-blocking interface</t>
  </si>
  <si>
    <t>VIN 6-24 V documented; internal 5 V rail</t>
  </si>
  <si>
    <t>Peak and onboard converter limits to test</t>
  </si>
  <si>
    <t>Essential — revision/backfeed check</t>
  </si>
  <si>
    <t>Separate 5 V auxiliary regulator for audio + MG90S</t>
  </si>
  <si>
    <t>5 V target</t>
  </si>
  <si>
    <t>Size from measured servo stall + audio load</t>
  </si>
  <si>
    <t>Yes — selection HOLD</t>
  </si>
  <si>
    <t>Solar</t>
  </si>
  <si>
    <t>Roof panel + matched 6S solar charger</t>
  </si>
  <si>
    <t>Panel dependent → 25.2 V CC/CV</t>
  </si>
  <si>
    <t>Panel-rated W; not battery load</t>
  </si>
  <si>
    <t>Sensors</t>
  </si>
  <si>
    <t>Pololu VL53L1X carrier #3415</t>
  </si>
  <si>
    <t>3.3 V chosen; carrier 2.6–5.5 V</t>
  </si>
  <si>
    <t>40 mA peak sensor (not board guarantee)</t>
  </si>
  <si>
    <t>~0.132 W sensor at 3.3 V</t>
  </si>
  <si>
    <t>Planned — four sensors</t>
  </si>
  <si>
    <t>256 GB USB 3 SSD</t>
  </si>
  <si>
    <t>5 V USB</t>
  </si>
  <si>
    <t>Check exact SSD/enclosure label</t>
  </si>
  <si>
    <t>New 6S charger — removed</t>
  </si>
  <si>
    <t>No</t>
  </si>
  <si>
    <t>Audio</t>
  </si>
  <si>
    <t>USB two-microphone array</t>
  </si>
  <si>
    <t>Exact model N/S</t>
  </si>
  <si>
    <t>Planned — model selection</t>
  </si>
  <si>
    <t>Existing pan/tilt bracket + 2 MG90S servos</t>
  </si>
  <si>
    <t>5 V selected for later servo rail</t>
  </si>
  <si>
    <t>Stall current needs exact servo test</t>
  </si>
  <si>
    <t>Owned — interface validation</t>
  </si>
  <si>
    <t>2 MAX98357A boards + 2 existing 3 W speakers</t>
  </si>
  <si>
    <t>5 V chosen; IC range 2.5–5.5 V</t>
  </si>
  <si>
    <t>Board/load dependent</t>
  </si>
  <si>
    <t>6 W speaker total ≠ DC input</t>
  </si>
  <si>
    <t>Control</t>
  </si>
  <si>
    <t>Arduino Uno</t>
  </si>
  <si>
    <t>5 V USB / logic</t>
  </si>
  <si>
    <t>Board max N/S</t>
  </si>
  <si>
    <t>Owned — reuse if needed</t>
  </si>
  <si>
    <t>Adafruit ICM-20948 #4554 — body + camera IMUs</t>
  </si>
  <si>
    <t>3.3 V VIN chosen; breakout supports 3–5 V</t>
  </si>
  <si>
    <t>Breakout max N/S</t>
  </si>
  <si>
    <t>Yes — stock/substitute check</t>
  </si>
  <si>
    <t>TCA9548A I2C multiplexer</t>
  </si>
  <si>
    <t>3.3 V chosen</t>
  </si>
  <si>
    <t>Board-dependent</t>
  </si>
  <si>
    <t>Conditional — ToF addressing</t>
  </si>
  <si>
    <t>INA226 current monitor + suitable shunt</t>
  </si>
  <si>
    <t>3.3 V logic; monitored bus ≤36 V</t>
  </si>
  <si>
    <t>Shunt/PCB rating, not IC rating</t>
  </si>
  <si>
    <t>Shunt loss I²R</t>
  </si>
  <si>
    <t>Official Raspberry Pi 5 Active Cooler</t>
  </si>
  <si>
    <t>5 V fan header</t>
  </si>
  <si>
    <t>Check supplied fan label</t>
  </si>
  <si>
    <t>Included in Pi power provision</t>
  </si>
  <si>
    <t>Yes</t>
  </si>
  <si>
    <t>Used Xbox One Kinect v2 sensor — confirmed version</t>
  </si>
  <si>
    <t>12 V through matching adapter; verify label</t>
  </si>
  <si>
    <t>Exact sensor/adapter label needed</t>
  </si>
  <si>
    <t>Yes — used price target</t>
  </si>
  <si>
    <t>Kinect v2 PC adapter + matching PSU + USB 3 cable</t>
  </si>
  <si>
    <t>12 V sensor-side; PSU label governs</t>
  </si>
  <si>
    <t>Provision 3 A rail pending label</t>
  </si>
  <si>
    <t>36 W supply allowance, not sensor rating</t>
  </si>
  <si>
    <t>Required — match exact v2 adapter</t>
  </si>
  <si>
    <t>Pi 5 22-pin to camera 15-pin CSI cable</t>
  </si>
  <si>
    <t>CSI only</t>
  </si>
  <si>
    <t>Yes if not already owned</t>
  </si>
  <si>
    <t>NOCO GB70 — already owned</t>
  </si>
  <si>
    <t>12 V accessory output</t>
  </si>
  <si>
    <t>15 A published output limit</t>
  </si>
  <si>
    <t>56 Wh stored energy</t>
  </si>
  <si>
    <t>Use existing</t>
  </si>
  <si>
    <t>NOCO approved accessory cable + fused mating harness</t>
  </si>
  <si>
    <t>12 V nominal</t>
  </si>
  <si>
    <t>Matched to fuse/wire rating</t>
  </si>
  <si>
    <t>Verify owned accessories first</t>
  </si>
  <si>
    <t>Kinect 12 V regulation / conditioning contingency</t>
  </si>
  <si>
    <t>12 V regulated target</t>
  </si>
  <si>
    <t>Match adapter label + peaks</t>
  </si>
  <si>
    <t>Conditional — output test</t>
  </si>
  <si>
    <t>Distribution PCB prototype fabrication + terminals allowance</t>
  </si>
  <si>
    <t>12 V architecture</t>
  </si>
  <si>
    <t>Copper/fuses TBD</t>
  </si>
  <si>
    <t>Later fabrication — HOLD</t>
  </si>
  <si>
    <t>Delivery and contingency reserve</t>
  </si>
  <si>
    <t>Reserve</t>
  </si>
  <si>
    <t>TOTAL</t>
  </si>
  <si>
    <t>Original owned-item valuation, not a current quote. Supply capacity includes peripherals; not measured Pi consumption. https://www.raspberrypi.com/documentation/computers/raspberry-pi.html</t>
  </si>
  <si>
    <t>Price from user Amazon screenshot incl. VAT. Complete acrylic kit, six AD002 servos and controller. Assembly required. Verify lifting capability with sample. Official controller docs say VIN6-24V; verify delivered revision and block USB VBUS backfeed before external power. https://www.adeept.com/learn/detail-64.html</t>
  </si>
  <si>
    <t>Not funded initially. Can revisit after one-arm testing; do not buy Waveshare based on the historical list. https://www.adeept.com/learn/detail-64.html</t>
  </si>
  <si>
    <t>€112 is original allowance, not a verified offer. Add only for a supported workload after Pi testing. https://www.raspberrypi.com/products/ai-hat/</t>
  </si>
  <si>
    <t xml:space="preserve">€20 spending allowance, NOT the original €65 finished enclosure. Check T12 payload, wheel traction, centre of gravity and tipping with arm extended. Does not guarantee the illustrated enclosure. </t>
  </si>
  <si>
    <t xml:space="preserve">Use T12 drivetrain initially. Four separate wheel motors are not part of this architecture. </t>
  </si>
  <si>
    <t xml:space="preserve">Do not connect extra drivers in parallel with OEM motor drivers. Replacement would require motor current, encoder and control characterization. </t>
  </si>
  <si>
    <t>€50 is your allowance, not a sourced offer. It was NOT marked X. Require working original battery, wheels, LiDAR and dock. OEM command/LiDAR access is not yet established; do not buy just assuming ROS access. Keep original power system separate. https://www.mi.com/de/product/xiaomi-robot-vacuum-t12/specs/</t>
  </si>
  <si>
    <t xml:space="preserve">User selected NOCO GB70 plus T12 original battery. No loose cells or BMS purchase required. </t>
  </si>
  <si>
    <t xml:space="preserve">EUR60 engineering allowance, not a complete priced stop system. Includes fused distribution, disconnect and arm stop/reset hardware. Independent T12 drive stop and arm torque-loss behaviour unresolved; NO free-moving release until resolved. </t>
  </si>
  <si>
    <t xml:space="preserve">€20 allowance. No Dupont leads for motor/arm/Pi power. Include appropriately rated GPIO power connection if using the proposed Pi converter. </t>
  </si>
  <si>
    <t>Use existing camera. Do not manually apply 5 V to CSI pins. https://www.raspberrypi.com/documentation/accessories/camera.html</t>
  </si>
  <si>
    <t>EUR35 landed-cost allowance; vendor lists USD22.94 before destination charges. GB70 nominal12V feeds DC input; use included USB-C output cable. Vendor barrel dimensions conflict, verify physical connector. NO simultaneous alternative power input. No GPIO power injection required. https://52pi.com/products/52pi-pd-power-extension-adapter-board-for-raspberry-pi-5</t>
  </si>
  <si>
    <t>EUR20 interface allowance, not another buck converter. Official archive documents VIN6-24V and internal5V regulator. Confirm delivered controller revision. USB VBUS is on5V rail: prevent backfeed and servo power through Pi USB with a qualified data-preserving VBUS-blocking interface. A charge-only cable is not suitable. Exact interface SKU pending. https://www.adeept.com/learn/detail-64.html</t>
  </si>
  <si>
    <t xml:space="preserve">EUR15 allowance for auxiliary converter; exact SKU and servo peak current pending. Powers audio and camera pan/tilt; motor branch must follow stop. No servo power from Pi3V3. </t>
  </si>
  <si>
    <t xml:space="preserve">Original €30 was not a validated complete solar charging system. Use mains charging first. No roof solar, dock solar station or supercap bank in phase 1. </t>
  </si>
  <si>
    <t>€20 per board allowance, not an EU quote. Use T12 sensors first only where accessible and validated. Additional ToF useful for arm-height obstacles; LiDAR does not cover everything. https://www.pololu.com/product/3415</t>
  </si>
  <si>
    <t xml:space="preserve">Original valuation. Test USB power and bandwidth with Kinect; USB port count alone does not establish compatibility. </t>
  </si>
  <si>
    <t xml:space="preserve">Use NOCO specified charging equipment and OEM T12 dock, independently. Confirm existing accessories; any missing charger costs extra. </t>
  </si>
  <si>
    <t xml:space="preserve">EUR20 allowance, now funded; exact compatible microphone model still to select. </t>
  </si>
  <si>
    <t xml:space="preserve">Only light Pi camera; NOT Kinect v2. Auxiliary power and PWM/stop wiring are design holds. </t>
  </si>
  <si>
    <t>Two3W speaker outputs are not DC input consumption. I2S pins and aux supply to be finalized. Bridged speaker outputs must not be grounded. https://www.analog.com/en/products/max98357a.html</t>
  </si>
  <si>
    <t>Arms include their own controller, so do not buy another controller just for arm operation. Uno may control later pan/tilt; 5 V signals need compatibility checks before Pi/3.3 V sensors. https://store.arduino.cc/products/arduino-uno-rev3</t>
  </si>
  <si>
    <t>Two boards now funded at prior EUR14.90 listing each; that listing was unavailable, so price/stock needs reconfirmation or verified substitute. Addresses0x68/0x69. Use3.3V VIN with Pi. Camera IMU follows light Pi camera pan/tilt, not a presumed moving Kinect. https://www.berrybase.de/fr/adafruit-tdk-invensense-icm-20948-9-dof-imu-mpu-9250-upgrade</t>
  </si>
  <si>
    <t xml:space="preserve">EUR5 allowance. Reserve for four identical ToF addresses; use short branch wiring. Exact carrier/pull-ups and XSHUT strategy still to select. </t>
  </si>
  <si>
    <t>€8 allowance. Do not run whole-pack current through an unqualified small breakout shunt. Independent of I2C mux; split original combined row. https://www.ti.com/product/INA226</t>
  </si>
  <si>
    <t>Verified €5.90 incl. VAT from linked retailer listing; shipping extra. https://www.berrybase.de/en/waveshare-roarm-m2-s-roboterarm-esp32-4dof-3600-basis-0-5kg-traglast-12v-wifi-uart</t>
  </si>
  <si>
    <t>€10 is your used-sensor target, not a sourced bundle. Version v2 replaces all earlier v1 choices. USB 3 connection via v2-specific adapter, NOT CSI. Fixed mount. libfreenect2/Pi 5 throughput must be tested; no promise of full-rate performance. https://github.com/OpenKinect/libfreenect2</t>
  </si>
  <si>
    <t xml:space="preserve">€40 allowance, not a current offer. Adapter/PSU/cable may come as a bundle; do not double-buy. Future battery conversion also requires a separate adequate 12 V branch; not funded here. </t>
  </si>
  <si>
    <t xml:space="preserve">€4 allowance. Remove this purchase if the correct cable is already present; do not use a Pi 4 cable without the correct Pi 5 end. </t>
  </si>
  <si>
    <t xml:space="preserve">Only12V OUT and approved accessory cable. No jump clamps; no new battery purchase. </t>
  </si>
  <si>
    <t xml:space="preserve">EUR15 allowance; remove if all required adapters already owned. Do not cut GB70 cables. </t>
  </si>
  <si>
    <t xml:space="preserve">EUR35 allowance for dedicated buck-boost if GB70 output is not suitable directly. Exact model pending range/adapter qualification. </t>
  </si>
  <si>
    <t xml:space="preserve">Funding reserve only; do not order PCB before design review and connector/thermal/stop validation. </t>
  </si>
  <si>
    <t xml:space="preserve">Unspent allocation, not hardware. Prices except screenshot/previously checked items are allowances. </t>
  </si>
</sst>
</file>

<file path=xl/styles.xml><?xml version="1.0" encoding="utf-8"?>
<styleSheet xmlns="http://schemas.openxmlformats.org/spreadsheetml/2006/main">
  <numFmts count="1">
    <numFmt numFmtId="164" formatCode="€0.00"/>
  </numFmts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36" totalsRowShown="0">
  <autoFilter ref="A1:K36"/>
  <tableColumns count="11">
    <tableColumn id="1" name="Category"/>
    <tableColumn id="2" name="Component"/>
    <tableColumn id="3" name="Qty"/>
    <tableColumn id="4" name="Unit EUR"/>
    <tableColumn id="5" name="Subtotal EUR"/>
    <tableColumn id="6" name="Already have?"/>
    <tableColumn id="7" name="Phase 1 2027"/>
    <tableColumn id="8" name="Volt"/>
    <tableColumn id="9" name="MaxCurrent"/>
    <tableColumn id="10" name="MaxPower"/>
    <tableColumn id="11" name="Ne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style="1" customWidth="1"/>
    <col min="2" max="2" width="58.7109375" style="1" customWidth="1"/>
    <col min="3" max="3" width="5.7109375" customWidth="1"/>
    <col min="4" max="5" width="12.7109375" style="2" customWidth="1"/>
    <col min="6" max="6" width="12.7109375" customWidth="1"/>
    <col min="7" max="7" width="15.7109375" style="2" customWidth="1"/>
    <col min="8" max="11" width="28.7109375" style="1" customWidth="1"/>
  </cols>
  <sheetData>
    <row r="1" spans="1:11">
      <c r="A1" s="1" t="s">
        <v>0</v>
      </c>
      <c r="B1" s="1" t="s">
        <v>1</v>
      </c>
      <c r="C1" t="s">
        <v>2</v>
      </c>
      <c r="D1" s="2" t="s">
        <v>3</v>
      </c>
      <c r="E1" s="2" t="s">
        <v>4</v>
      </c>
      <c r="F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4" customHeight="1">
      <c r="A2" s="1" t="s">
        <v>11</v>
      </c>
      <c r="B2" s="1" t="s">
        <v>12</v>
      </c>
      <c r="C2">
        <v>1</v>
      </c>
      <c r="D2" s="2">
        <v>250</v>
      </c>
      <c r="E2" s="2">
        <v>250</v>
      </c>
      <c r="F2" t="s">
        <v>13</v>
      </c>
      <c r="G2" s="2">
        <v>0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64" customHeight="1">
      <c r="A3" s="1" t="s">
        <v>18</v>
      </c>
      <c r="B3" s="1" t="s">
        <v>19</v>
      </c>
      <c r="C3">
        <v>1</v>
      </c>
      <c r="D3" s="2">
        <v>69.98999999999999</v>
      </c>
      <c r="E3" s="2">
        <v>69.98999999999999</v>
      </c>
      <c r="G3" s="2">
        <v>69.98999999999999</v>
      </c>
      <c r="H3" s="1" t="s">
        <v>20</v>
      </c>
      <c r="I3" s="1" t="s">
        <v>21</v>
      </c>
      <c r="J3" s="1" t="s">
        <v>22</v>
      </c>
      <c r="K3" s="1" t="s">
        <v>23</v>
      </c>
    </row>
    <row r="4" spans="1:11" ht="64" customHeight="1">
      <c r="A4" s="1" t="s">
        <v>18</v>
      </c>
      <c r="B4" s="1" t="s">
        <v>24</v>
      </c>
      <c r="C4">
        <v>1</v>
      </c>
      <c r="D4" s="2">
        <v>69.98999999999999</v>
      </c>
      <c r="E4" s="2">
        <v>69.98999999999999</v>
      </c>
      <c r="G4" s="2">
        <v>0</v>
      </c>
      <c r="H4" s="1" t="s">
        <v>25</v>
      </c>
      <c r="I4" s="1" t="s">
        <v>25</v>
      </c>
      <c r="J4" s="1" t="s">
        <v>25</v>
      </c>
      <c r="K4" s="1" t="s">
        <v>26</v>
      </c>
    </row>
    <row r="5" spans="1:11" ht="64" customHeight="1">
      <c r="A5" s="1" t="s">
        <v>11</v>
      </c>
      <c r="B5" s="1" t="s">
        <v>27</v>
      </c>
      <c r="C5">
        <v>1</v>
      </c>
      <c r="D5" s="2">
        <v>112</v>
      </c>
      <c r="E5" s="2">
        <v>112</v>
      </c>
      <c r="G5" s="2">
        <v>0</v>
      </c>
      <c r="H5" s="1" t="s">
        <v>28</v>
      </c>
      <c r="I5" s="1" t="s">
        <v>29</v>
      </c>
      <c r="J5" s="1" t="s">
        <v>30</v>
      </c>
      <c r="K5" s="1" t="s">
        <v>31</v>
      </c>
    </row>
    <row r="6" spans="1:11" ht="64" customHeight="1">
      <c r="A6" s="1" t="s">
        <v>32</v>
      </c>
      <c r="B6" s="1" t="s">
        <v>33</v>
      </c>
      <c r="C6">
        <v>1</v>
      </c>
      <c r="D6" s="2">
        <v>20</v>
      </c>
      <c r="E6" s="2">
        <v>20</v>
      </c>
      <c r="G6" s="2">
        <v>20</v>
      </c>
      <c r="H6" s="1" t="s">
        <v>34</v>
      </c>
      <c r="I6" s="1" t="s">
        <v>34</v>
      </c>
      <c r="J6" s="1" t="s">
        <v>34</v>
      </c>
      <c r="K6" s="1" t="s">
        <v>35</v>
      </c>
    </row>
    <row r="7" spans="1:11" ht="64" customHeight="1">
      <c r="A7" s="1" t="s">
        <v>36</v>
      </c>
      <c r="B7" s="1" t="s">
        <v>37</v>
      </c>
      <c r="C7">
        <v>0</v>
      </c>
      <c r="D7" s="2">
        <v>15</v>
      </c>
      <c r="E7" s="2">
        <v>0</v>
      </c>
      <c r="G7" s="2">
        <v>0</v>
      </c>
      <c r="H7" s="1" t="s">
        <v>38</v>
      </c>
      <c r="I7" s="1" t="s">
        <v>39</v>
      </c>
      <c r="J7" s="1" t="s">
        <v>39</v>
      </c>
      <c r="K7" s="1" t="s">
        <v>40</v>
      </c>
    </row>
    <row r="8" spans="1:11" ht="64" customHeight="1">
      <c r="A8" s="1" t="s">
        <v>36</v>
      </c>
      <c r="B8" s="1" t="s">
        <v>41</v>
      </c>
      <c r="C8">
        <v>0</v>
      </c>
      <c r="D8" s="2">
        <v>27.5</v>
      </c>
      <c r="E8" s="2">
        <v>0</v>
      </c>
      <c r="G8" s="2">
        <v>0</v>
      </c>
      <c r="H8" s="1" t="s">
        <v>42</v>
      </c>
      <c r="I8" s="1" t="s">
        <v>39</v>
      </c>
      <c r="J8" s="1" t="s">
        <v>39</v>
      </c>
      <c r="K8" s="1" t="s">
        <v>43</v>
      </c>
    </row>
    <row r="9" spans="1:11" ht="64" customHeight="1">
      <c r="A9" s="1" t="s">
        <v>36</v>
      </c>
      <c r="B9" s="1" t="s">
        <v>44</v>
      </c>
      <c r="C9">
        <v>1</v>
      </c>
      <c r="D9" s="2">
        <v>50</v>
      </c>
      <c r="E9" s="2">
        <v>50</v>
      </c>
      <c r="G9" s="2">
        <v>50</v>
      </c>
      <c r="H9" s="1" t="s">
        <v>45</v>
      </c>
      <c r="I9" s="1" t="s">
        <v>46</v>
      </c>
      <c r="J9" s="1" t="s">
        <v>47</v>
      </c>
      <c r="K9" s="1" t="s">
        <v>48</v>
      </c>
    </row>
    <row r="10" spans="1:11" ht="64" customHeight="1">
      <c r="A10" s="1" t="s">
        <v>49</v>
      </c>
      <c r="B10" s="1" t="s">
        <v>50</v>
      </c>
      <c r="C10">
        <v>1</v>
      </c>
      <c r="G10" s="2">
        <v>0</v>
      </c>
      <c r="H10" s="1" t="s">
        <v>51</v>
      </c>
      <c r="I10" s="1" t="s">
        <v>34</v>
      </c>
      <c r="J10" s="1" t="s">
        <v>34</v>
      </c>
      <c r="K10" s="1" t="s">
        <v>52</v>
      </c>
    </row>
    <row r="11" spans="1:11" ht="64" customHeight="1">
      <c r="A11" s="1" t="s">
        <v>49</v>
      </c>
      <c r="B11" s="1" t="s">
        <v>53</v>
      </c>
      <c r="C11">
        <v>1</v>
      </c>
      <c r="D11" s="2">
        <v>60</v>
      </c>
      <c r="E11" s="2">
        <v>60</v>
      </c>
      <c r="G11" s="2">
        <v>60</v>
      </c>
      <c r="H11" s="1" t="s">
        <v>54</v>
      </c>
      <c r="I11" s="1" t="s">
        <v>55</v>
      </c>
      <c r="J11" s="1" t="s">
        <v>56</v>
      </c>
      <c r="K11" s="1" t="s">
        <v>57</v>
      </c>
    </row>
    <row r="12" spans="1:11" ht="64" customHeight="1">
      <c r="A12" s="1" t="s">
        <v>58</v>
      </c>
      <c r="B12" s="1" t="s">
        <v>59</v>
      </c>
      <c r="C12">
        <v>1</v>
      </c>
      <c r="D12" s="2">
        <v>20</v>
      </c>
      <c r="E12" s="2">
        <v>20</v>
      </c>
      <c r="G12" s="2">
        <v>20</v>
      </c>
      <c r="H12" s="1" t="s">
        <v>60</v>
      </c>
      <c r="I12" s="1" t="s">
        <v>61</v>
      </c>
      <c r="J12" s="1" t="s">
        <v>34</v>
      </c>
      <c r="K12" s="1" t="s">
        <v>35</v>
      </c>
    </row>
    <row r="13" spans="1:11" ht="64" customHeight="1">
      <c r="A13" s="1" t="s">
        <v>62</v>
      </c>
      <c r="B13" s="1" t="s">
        <v>63</v>
      </c>
      <c r="C13">
        <v>1</v>
      </c>
      <c r="D13" s="2">
        <v>35</v>
      </c>
      <c r="E13" s="2">
        <v>35</v>
      </c>
      <c r="F13" t="s">
        <v>13</v>
      </c>
      <c r="G13" s="2">
        <v>0</v>
      </c>
      <c r="H13" s="1" t="s">
        <v>64</v>
      </c>
      <c r="I13" s="1" t="s">
        <v>29</v>
      </c>
      <c r="J13" s="1" t="s">
        <v>65</v>
      </c>
      <c r="K13" s="1" t="s">
        <v>17</v>
      </c>
    </row>
    <row r="14" spans="1:11" ht="64" customHeight="1">
      <c r="A14" s="1" t="s">
        <v>49</v>
      </c>
      <c r="B14" s="1" t="s">
        <v>66</v>
      </c>
      <c r="C14">
        <v>1</v>
      </c>
      <c r="D14" s="2">
        <v>35</v>
      </c>
      <c r="E14" s="2">
        <v>35</v>
      </c>
      <c r="G14" s="2">
        <v>35</v>
      </c>
      <c r="H14" s="1" t="s">
        <v>67</v>
      </c>
      <c r="I14" s="1" t="s">
        <v>68</v>
      </c>
      <c r="J14" s="1" t="s">
        <v>69</v>
      </c>
      <c r="K14" s="1" t="s">
        <v>70</v>
      </c>
    </row>
    <row r="15" spans="1:11" ht="64" customHeight="1">
      <c r="A15" s="1" t="s">
        <v>49</v>
      </c>
      <c r="B15" s="1" t="s">
        <v>71</v>
      </c>
      <c r="C15">
        <v>1</v>
      </c>
      <c r="D15" s="2">
        <v>20</v>
      </c>
      <c r="E15" s="2">
        <v>20</v>
      </c>
      <c r="G15" s="2">
        <v>20</v>
      </c>
      <c r="H15" s="1" t="s">
        <v>72</v>
      </c>
      <c r="I15" s="1" t="s">
        <v>73</v>
      </c>
      <c r="J15" s="1" t="s">
        <v>25</v>
      </c>
      <c r="K15" s="1" t="s">
        <v>74</v>
      </c>
    </row>
    <row r="16" spans="1:11" ht="64" customHeight="1">
      <c r="A16" s="1" t="s">
        <v>49</v>
      </c>
      <c r="B16" s="1" t="s">
        <v>75</v>
      </c>
      <c r="C16">
        <v>1</v>
      </c>
      <c r="D16" s="2">
        <v>15</v>
      </c>
      <c r="E16" s="2">
        <v>15</v>
      </c>
      <c r="G16" s="2">
        <v>15</v>
      </c>
      <c r="H16" s="1" t="s">
        <v>76</v>
      </c>
      <c r="I16" s="1" t="s">
        <v>77</v>
      </c>
      <c r="J16" s="1" t="s">
        <v>25</v>
      </c>
      <c r="K16" s="1" t="s">
        <v>78</v>
      </c>
    </row>
    <row r="17" spans="1:11" ht="64" customHeight="1">
      <c r="A17" s="1" t="s">
        <v>79</v>
      </c>
      <c r="B17" s="1" t="s">
        <v>80</v>
      </c>
      <c r="C17">
        <v>1</v>
      </c>
      <c r="G17" s="2">
        <v>0</v>
      </c>
      <c r="H17" s="1" t="s">
        <v>81</v>
      </c>
      <c r="I17" s="1" t="s">
        <v>25</v>
      </c>
      <c r="J17" s="1" t="s">
        <v>82</v>
      </c>
      <c r="K17" s="1" t="s">
        <v>31</v>
      </c>
    </row>
    <row r="18" spans="1:11" ht="64" customHeight="1">
      <c r="A18" s="1" t="s">
        <v>83</v>
      </c>
      <c r="B18" s="1" t="s">
        <v>84</v>
      </c>
      <c r="C18">
        <v>4</v>
      </c>
      <c r="D18" s="2">
        <v>20</v>
      </c>
      <c r="E18" s="2">
        <v>80</v>
      </c>
      <c r="G18" s="2">
        <v>80</v>
      </c>
      <c r="H18" s="1" t="s">
        <v>85</v>
      </c>
      <c r="I18" s="1" t="s">
        <v>86</v>
      </c>
      <c r="J18" s="1" t="s">
        <v>87</v>
      </c>
      <c r="K18" s="1" t="s">
        <v>88</v>
      </c>
    </row>
    <row r="19" spans="1:11" ht="64" customHeight="1">
      <c r="A19" s="1" t="s">
        <v>11</v>
      </c>
      <c r="B19" s="1" t="s">
        <v>89</v>
      </c>
      <c r="C19">
        <v>1</v>
      </c>
      <c r="D19" s="2">
        <v>25</v>
      </c>
      <c r="E19" s="2">
        <v>25</v>
      </c>
      <c r="F19" t="s">
        <v>13</v>
      </c>
      <c r="G19" s="2">
        <v>0</v>
      </c>
      <c r="H19" s="1" t="s">
        <v>90</v>
      </c>
      <c r="I19" s="1" t="s">
        <v>91</v>
      </c>
      <c r="J19" s="1" t="s">
        <v>29</v>
      </c>
      <c r="K19" s="1" t="s">
        <v>17</v>
      </c>
    </row>
    <row r="20" spans="1:11" ht="64" customHeight="1">
      <c r="A20" s="1" t="s">
        <v>49</v>
      </c>
      <c r="B20" s="1" t="s">
        <v>92</v>
      </c>
      <c r="C20">
        <v>1</v>
      </c>
      <c r="G20" s="2">
        <v>0</v>
      </c>
      <c r="H20" s="1" t="s">
        <v>51</v>
      </c>
      <c r="I20" s="1" t="s">
        <v>34</v>
      </c>
      <c r="J20" s="1" t="s">
        <v>34</v>
      </c>
      <c r="K20" s="1" t="s">
        <v>93</v>
      </c>
    </row>
    <row r="21" spans="1:11" ht="64" customHeight="1">
      <c r="A21" s="1" t="s">
        <v>94</v>
      </c>
      <c r="B21" s="1" t="s">
        <v>95</v>
      </c>
      <c r="C21">
        <v>1</v>
      </c>
      <c r="D21" s="2">
        <v>20</v>
      </c>
      <c r="E21" s="2">
        <v>20</v>
      </c>
      <c r="G21" s="2">
        <v>20</v>
      </c>
      <c r="H21" s="1" t="s">
        <v>90</v>
      </c>
      <c r="I21" s="1" t="s">
        <v>96</v>
      </c>
      <c r="J21" s="1" t="s">
        <v>29</v>
      </c>
      <c r="K21" s="1" t="s">
        <v>97</v>
      </c>
    </row>
    <row r="22" spans="1:11" ht="64" customHeight="1">
      <c r="A22" s="1" t="s">
        <v>62</v>
      </c>
      <c r="B22" s="1" t="s">
        <v>98</v>
      </c>
      <c r="C22">
        <v>1</v>
      </c>
      <c r="D22" s="2">
        <v>15</v>
      </c>
      <c r="E22" s="2">
        <v>15</v>
      </c>
      <c r="F22" t="s">
        <v>13</v>
      </c>
      <c r="G22" s="2">
        <v>0</v>
      </c>
      <c r="H22" s="1" t="s">
        <v>99</v>
      </c>
      <c r="I22" s="1" t="s">
        <v>100</v>
      </c>
      <c r="J22" s="1" t="s">
        <v>25</v>
      </c>
      <c r="K22" s="1" t="s">
        <v>101</v>
      </c>
    </row>
    <row r="23" spans="1:11" ht="64" customHeight="1">
      <c r="A23" s="1" t="s">
        <v>94</v>
      </c>
      <c r="B23" s="1" t="s">
        <v>102</v>
      </c>
      <c r="C23">
        <v>1</v>
      </c>
      <c r="D23" s="2">
        <v>12</v>
      </c>
      <c r="E23" s="2">
        <v>12</v>
      </c>
      <c r="F23" t="s">
        <v>13</v>
      </c>
      <c r="G23" s="2">
        <v>0</v>
      </c>
      <c r="H23" s="1" t="s">
        <v>103</v>
      </c>
      <c r="I23" s="1" t="s">
        <v>104</v>
      </c>
      <c r="J23" s="1" t="s">
        <v>105</v>
      </c>
      <c r="K23" s="1" t="s">
        <v>101</v>
      </c>
    </row>
    <row r="24" spans="1:11" ht="64" customHeight="1">
      <c r="A24" s="1" t="s">
        <v>106</v>
      </c>
      <c r="B24" s="1" t="s">
        <v>107</v>
      </c>
      <c r="C24">
        <v>1</v>
      </c>
      <c r="D24" s="2">
        <v>12</v>
      </c>
      <c r="E24" s="2">
        <v>12</v>
      </c>
      <c r="F24" t="s">
        <v>13</v>
      </c>
      <c r="G24" s="2">
        <v>0</v>
      </c>
      <c r="H24" s="1" t="s">
        <v>108</v>
      </c>
      <c r="I24" s="1" t="s">
        <v>109</v>
      </c>
      <c r="J24" s="1" t="s">
        <v>29</v>
      </c>
      <c r="K24" s="1" t="s">
        <v>110</v>
      </c>
    </row>
    <row r="25" spans="1:11" ht="64" customHeight="1">
      <c r="A25" s="1" t="s">
        <v>106</v>
      </c>
      <c r="B25" s="1" t="s">
        <v>111</v>
      </c>
      <c r="C25">
        <v>2</v>
      </c>
      <c r="D25" s="2">
        <v>14.9</v>
      </c>
      <c r="E25" s="2">
        <v>29.8</v>
      </c>
      <c r="G25" s="2">
        <v>29.8</v>
      </c>
      <c r="H25" s="1" t="s">
        <v>112</v>
      </c>
      <c r="I25" s="1" t="s">
        <v>113</v>
      </c>
      <c r="J25" s="1" t="s">
        <v>29</v>
      </c>
      <c r="K25" s="1" t="s">
        <v>114</v>
      </c>
    </row>
    <row r="26" spans="1:11" ht="64" customHeight="1">
      <c r="A26" s="1" t="s">
        <v>83</v>
      </c>
      <c r="B26" s="1" t="s">
        <v>115</v>
      </c>
      <c r="C26">
        <v>1</v>
      </c>
      <c r="D26" s="2">
        <v>5</v>
      </c>
      <c r="E26" s="2">
        <v>5</v>
      </c>
      <c r="G26" s="2">
        <v>5</v>
      </c>
      <c r="H26" s="1" t="s">
        <v>116</v>
      </c>
      <c r="I26" s="1" t="s">
        <v>117</v>
      </c>
      <c r="J26" s="1" t="s">
        <v>29</v>
      </c>
      <c r="K26" s="1" t="s">
        <v>118</v>
      </c>
    </row>
    <row r="27" spans="1:11" ht="64" customHeight="1">
      <c r="A27" s="1" t="s">
        <v>83</v>
      </c>
      <c r="B27" s="1" t="s">
        <v>119</v>
      </c>
      <c r="C27">
        <v>1</v>
      </c>
      <c r="D27" s="2">
        <v>8</v>
      </c>
      <c r="E27" s="2">
        <v>8</v>
      </c>
      <c r="G27" s="2">
        <v>0</v>
      </c>
      <c r="H27" s="1" t="s">
        <v>120</v>
      </c>
      <c r="I27" s="1" t="s">
        <v>121</v>
      </c>
      <c r="J27" s="1" t="s">
        <v>122</v>
      </c>
      <c r="K27" s="1" t="s">
        <v>31</v>
      </c>
    </row>
    <row r="28" spans="1:11" ht="64" customHeight="1">
      <c r="A28" s="1" t="s">
        <v>11</v>
      </c>
      <c r="B28" s="1" t="s">
        <v>123</v>
      </c>
      <c r="C28">
        <v>1</v>
      </c>
      <c r="D28" s="2">
        <v>5.9</v>
      </c>
      <c r="E28" s="2">
        <v>5.9</v>
      </c>
      <c r="G28" s="2">
        <v>5.9</v>
      </c>
      <c r="H28" s="1" t="s">
        <v>124</v>
      </c>
      <c r="I28" s="1" t="s">
        <v>125</v>
      </c>
      <c r="J28" s="1" t="s">
        <v>126</v>
      </c>
      <c r="K28" s="1" t="s">
        <v>127</v>
      </c>
    </row>
    <row r="29" spans="1:11" ht="64" customHeight="1">
      <c r="A29" s="1" t="s">
        <v>62</v>
      </c>
      <c r="B29" s="1" t="s">
        <v>128</v>
      </c>
      <c r="C29">
        <v>1</v>
      </c>
      <c r="D29" s="2">
        <v>10</v>
      </c>
      <c r="E29" s="2">
        <v>10</v>
      </c>
      <c r="G29" s="2">
        <v>10</v>
      </c>
      <c r="H29" s="1" t="s">
        <v>129</v>
      </c>
      <c r="I29" s="1" t="s">
        <v>130</v>
      </c>
      <c r="J29" s="1" t="s">
        <v>29</v>
      </c>
      <c r="K29" s="1" t="s">
        <v>131</v>
      </c>
    </row>
    <row r="30" spans="1:11" ht="64" customHeight="1">
      <c r="A30" s="1" t="s">
        <v>62</v>
      </c>
      <c r="B30" s="1" t="s">
        <v>132</v>
      </c>
      <c r="C30">
        <v>1</v>
      </c>
      <c r="D30" s="2">
        <v>40</v>
      </c>
      <c r="E30" s="2">
        <v>40</v>
      </c>
      <c r="G30" s="2">
        <v>40</v>
      </c>
      <c r="H30" s="1" t="s">
        <v>133</v>
      </c>
      <c r="I30" s="1" t="s">
        <v>134</v>
      </c>
      <c r="J30" s="1" t="s">
        <v>135</v>
      </c>
      <c r="K30" s="1" t="s">
        <v>136</v>
      </c>
    </row>
    <row r="31" spans="1:11" ht="64" customHeight="1">
      <c r="A31" s="1" t="s">
        <v>58</v>
      </c>
      <c r="B31" s="1" t="s">
        <v>137</v>
      </c>
      <c r="C31">
        <v>1</v>
      </c>
      <c r="D31" s="2">
        <v>4</v>
      </c>
      <c r="E31" s="2">
        <v>4</v>
      </c>
      <c r="G31" s="2">
        <v>4</v>
      </c>
      <c r="H31" s="1" t="s">
        <v>138</v>
      </c>
      <c r="I31" s="1" t="s">
        <v>34</v>
      </c>
      <c r="J31" s="1" t="s">
        <v>34</v>
      </c>
      <c r="K31" s="1" t="s">
        <v>139</v>
      </c>
    </row>
    <row r="32" spans="1:11" ht="64" customHeight="1">
      <c r="A32" s="1" t="s">
        <v>49</v>
      </c>
      <c r="B32" s="1" t="s">
        <v>140</v>
      </c>
      <c r="C32">
        <v>1</v>
      </c>
      <c r="D32" s="2">
        <v>0</v>
      </c>
      <c r="E32" s="2">
        <v>0</v>
      </c>
      <c r="F32" t="s">
        <v>13</v>
      </c>
      <c r="G32" s="2">
        <v>0</v>
      </c>
      <c r="H32" s="1" t="s">
        <v>141</v>
      </c>
      <c r="I32" s="1" t="s">
        <v>142</v>
      </c>
      <c r="J32" s="1" t="s">
        <v>143</v>
      </c>
      <c r="K32" s="1" t="s">
        <v>144</v>
      </c>
    </row>
    <row r="33" spans="1:11" ht="64" customHeight="1">
      <c r="A33" s="1" t="s">
        <v>49</v>
      </c>
      <c r="B33" s="1" t="s">
        <v>145</v>
      </c>
      <c r="C33">
        <v>1</v>
      </c>
      <c r="D33" s="2">
        <v>15</v>
      </c>
      <c r="E33" s="2">
        <v>15</v>
      </c>
      <c r="G33" s="2">
        <v>15</v>
      </c>
      <c r="H33" s="1" t="s">
        <v>146</v>
      </c>
      <c r="I33" s="1" t="s">
        <v>147</v>
      </c>
      <c r="J33" s="1" t="s">
        <v>34</v>
      </c>
      <c r="K33" s="1" t="s">
        <v>148</v>
      </c>
    </row>
    <row r="34" spans="1:11" ht="64" customHeight="1">
      <c r="A34" s="1" t="s">
        <v>49</v>
      </c>
      <c r="B34" s="1" t="s">
        <v>149</v>
      </c>
      <c r="C34">
        <v>1</v>
      </c>
      <c r="D34" s="2">
        <v>35</v>
      </c>
      <c r="E34" s="2">
        <v>35</v>
      </c>
      <c r="G34" s="2">
        <v>35</v>
      </c>
      <c r="H34" s="1" t="s">
        <v>150</v>
      </c>
      <c r="I34" s="1" t="s">
        <v>151</v>
      </c>
      <c r="J34" s="1" t="s">
        <v>25</v>
      </c>
      <c r="K34" s="1" t="s">
        <v>152</v>
      </c>
    </row>
    <row r="35" spans="1:11" ht="64" customHeight="1">
      <c r="A35" s="1" t="s">
        <v>49</v>
      </c>
      <c r="B35" s="1" t="s">
        <v>153</v>
      </c>
      <c r="C35">
        <v>1</v>
      </c>
      <c r="D35" s="2">
        <v>30</v>
      </c>
      <c r="E35" s="2">
        <v>30</v>
      </c>
      <c r="G35" s="2">
        <v>30</v>
      </c>
      <c r="H35" s="1" t="s">
        <v>154</v>
      </c>
      <c r="I35" s="1" t="s">
        <v>155</v>
      </c>
      <c r="J35" s="1" t="s">
        <v>34</v>
      </c>
      <c r="K35" s="1" t="s">
        <v>156</v>
      </c>
    </row>
    <row r="36" spans="1:11" ht="64" customHeight="1">
      <c r="A36" s="1" t="s">
        <v>49</v>
      </c>
      <c r="B36" s="1" t="s">
        <v>157</v>
      </c>
      <c r="C36">
        <v>1</v>
      </c>
      <c r="D36" s="2">
        <v>35.31</v>
      </c>
      <c r="E36" s="2">
        <v>35.31</v>
      </c>
      <c r="G36" s="2">
        <v>35.31</v>
      </c>
      <c r="H36" s="1" t="s">
        <v>34</v>
      </c>
      <c r="I36" s="1" t="s">
        <v>34</v>
      </c>
      <c r="J36" s="1" t="s">
        <v>34</v>
      </c>
      <c r="K36" s="1" t="s">
        <v>158</v>
      </c>
    </row>
    <row r="38" spans="1:11">
      <c r="F38" t="s">
        <v>159</v>
      </c>
      <c r="G38" s="2">
        <f>SUM(G2:G36)</f>
        <v>600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cols>
    <col min="1" max="1" width="55.7109375" style="1" customWidth="1"/>
    <col min="2" max="2" width="120.7109375" style="1" customWidth="1"/>
  </cols>
  <sheetData>
    <row r="1" spans="1:2" ht="75" customHeight="1">
      <c r="A1" s="1" t="s">
        <v>12</v>
      </c>
      <c r="B1" s="1" t="s">
        <v>160</v>
      </c>
    </row>
    <row r="2" spans="1:2" ht="75" customHeight="1">
      <c r="A2" s="1" t="s">
        <v>19</v>
      </c>
      <c r="B2" s="1" t="s">
        <v>161</v>
      </c>
    </row>
    <row r="3" spans="1:2" ht="75" customHeight="1">
      <c r="A3" s="1" t="s">
        <v>24</v>
      </c>
      <c r="B3" s="1" t="s">
        <v>162</v>
      </c>
    </row>
    <row r="4" spans="1:2" ht="75" customHeight="1">
      <c r="A4" s="1" t="s">
        <v>27</v>
      </c>
      <c r="B4" s="1" t="s">
        <v>163</v>
      </c>
    </row>
    <row r="5" spans="1:2" ht="75" customHeight="1">
      <c r="A5" s="1" t="s">
        <v>33</v>
      </c>
      <c r="B5" s="1" t="s">
        <v>164</v>
      </c>
    </row>
    <row r="6" spans="1:2" ht="75" customHeight="1">
      <c r="A6" s="1" t="s">
        <v>37</v>
      </c>
      <c r="B6" s="1" t="s">
        <v>165</v>
      </c>
    </row>
    <row r="7" spans="1:2" ht="75" customHeight="1">
      <c r="A7" s="1" t="s">
        <v>41</v>
      </c>
      <c r="B7" s="1" t="s">
        <v>166</v>
      </c>
    </row>
    <row r="8" spans="1:2" ht="75" customHeight="1">
      <c r="A8" s="1" t="s">
        <v>44</v>
      </c>
      <c r="B8" s="1" t="s">
        <v>167</v>
      </c>
    </row>
    <row r="9" spans="1:2" ht="75" customHeight="1">
      <c r="A9" s="1" t="s">
        <v>50</v>
      </c>
      <c r="B9" s="1" t="s">
        <v>168</v>
      </c>
    </row>
    <row r="10" spans="1:2" ht="75" customHeight="1">
      <c r="A10" s="1" t="s">
        <v>53</v>
      </c>
      <c r="B10" s="1" t="s">
        <v>169</v>
      </c>
    </row>
    <row r="11" spans="1:2" ht="75" customHeight="1">
      <c r="A11" s="1" t="s">
        <v>59</v>
      </c>
      <c r="B11" s="1" t="s">
        <v>170</v>
      </c>
    </row>
    <row r="12" spans="1:2" ht="75" customHeight="1">
      <c r="A12" s="1" t="s">
        <v>63</v>
      </c>
      <c r="B12" s="1" t="s">
        <v>171</v>
      </c>
    </row>
    <row r="13" spans="1:2" ht="75" customHeight="1">
      <c r="A13" s="1" t="s">
        <v>66</v>
      </c>
      <c r="B13" s="1" t="s">
        <v>172</v>
      </c>
    </row>
    <row r="14" spans="1:2" ht="75" customHeight="1">
      <c r="A14" s="1" t="s">
        <v>71</v>
      </c>
      <c r="B14" s="1" t="s">
        <v>173</v>
      </c>
    </row>
    <row r="15" spans="1:2" ht="75" customHeight="1">
      <c r="A15" s="1" t="s">
        <v>75</v>
      </c>
      <c r="B15" s="1" t="s">
        <v>174</v>
      </c>
    </row>
    <row r="16" spans="1:2" ht="75" customHeight="1">
      <c r="A16" s="1" t="s">
        <v>80</v>
      </c>
      <c r="B16" s="1" t="s">
        <v>175</v>
      </c>
    </row>
    <row r="17" spans="1:2" ht="75" customHeight="1">
      <c r="A17" s="1" t="s">
        <v>84</v>
      </c>
      <c r="B17" s="1" t="s">
        <v>176</v>
      </c>
    </row>
    <row r="18" spans="1:2" ht="75" customHeight="1">
      <c r="A18" s="1" t="s">
        <v>89</v>
      </c>
      <c r="B18" s="1" t="s">
        <v>177</v>
      </c>
    </row>
    <row r="19" spans="1:2" ht="75" customHeight="1">
      <c r="A19" s="1" t="s">
        <v>92</v>
      </c>
      <c r="B19" s="1" t="s">
        <v>178</v>
      </c>
    </row>
    <row r="20" spans="1:2" ht="75" customHeight="1">
      <c r="A20" s="1" t="s">
        <v>95</v>
      </c>
      <c r="B20" s="1" t="s">
        <v>179</v>
      </c>
    </row>
    <row r="21" spans="1:2" ht="75" customHeight="1">
      <c r="A21" s="1" t="s">
        <v>98</v>
      </c>
      <c r="B21" s="1" t="s">
        <v>180</v>
      </c>
    </row>
    <row r="22" spans="1:2" ht="75" customHeight="1">
      <c r="A22" s="1" t="s">
        <v>102</v>
      </c>
      <c r="B22" s="1" t="s">
        <v>181</v>
      </c>
    </row>
    <row r="23" spans="1:2" ht="75" customHeight="1">
      <c r="A23" s="1" t="s">
        <v>107</v>
      </c>
      <c r="B23" s="1" t="s">
        <v>182</v>
      </c>
    </row>
    <row r="24" spans="1:2" ht="75" customHeight="1">
      <c r="A24" s="1" t="s">
        <v>111</v>
      </c>
      <c r="B24" s="1" t="s">
        <v>183</v>
      </c>
    </row>
    <row r="25" spans="1:2" ht="75" customHeight="1">
      <c r="A25" s="1" t="s">
        <v>115</v>
      </c>
      <c r="B25" s="1" t="s">
        <v>184</v>
      </c>
    </row>
    <row r="26" spans="1:2" ht="75" customHeight="1">
      <c r="A26" s="1" t="s">
        <v>119</v>
      </c>
      <c r="B26" s="1" t="s">
        <v>185</v>
      </c>
    </row>
    <row r="27" spans="1:2" ht="75" customHeight="1">
      <c r="A27" s="1" t="s">
        <v>123</v>
      </c>
      <c r="B27" s="1" t="s">
        <v>186</v>
      </c>
    </row>
    <row r="28" spans="1:2" ht="75" customHeight="1">
      <c r="A28" s="1" t="s">
        <v>128</v>
      </c>
      <c r="B28" s="1" t="s">
        <v>187</v>
      </c>
    </row>
    <row r="29" spans="1:2" ht="75" customHeight="1">
      <c r="A29" s="1" t="s">
        <v>132</v>
      </c>
      <c r="B29" s="1" t="s">
        <v>188</v>
      </c>
    </row>
    <row r="30" spans="1:2" ht="75" customHeight="1">
      <c r="A30" s="1" t="s">
        <v>137</v>
      </c>
      <c r="B30" s="1" t="s">
        <v>189</v>
      </c>
    </row>
    <row r="31" spans="1:2" ht="75" customHeight="1">
      <c r="A31" s="1" t="s">
        <v>140</v>
      </c>
      <c r="B31" s="1" t="s">
        <v>190</v>
      </c>
    </row>
    <row r="32" spans="1:2" ht="75" customHeight="1">
      <c r="A32" s="1" t="s">
        <v>145</v>
      </c>
      <c r="B32" s="1" t="s">
        <v>191</v>
      </c>
    </row>
    <row r="33" spans="1:2" ht="75" customHeight="1">
      <c r="A33" s="1" t="s">
        <v>149</v>
      </c>
      <c r="B33" s="1" t="s">
        <v>192</v>
      </c>
    </row>
    <row r="34" spans="1:2" ht="75" customHeight="1">
      <c r="A34" s="1" t="s">
        <v>153</v>
      </c>
      <c r="B34" s="1" t="s">
        <v>193</v>
      </c>
    </row>
    <row r="35" spans="1:2" ht="75" customHeight="1">
      <c r="A35" s="1" t="s">
        <v>157</v>
      </c>
      <c r="B35" s="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r07 parts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2026-10-02T12:26:57Z</dcterms:created>
  <dcterms:modified xsi:type="dcterms:W3CDTF">2026-10-02T12:26:57Z</dcterms:modified>
</cp:coreProperties>
</file>