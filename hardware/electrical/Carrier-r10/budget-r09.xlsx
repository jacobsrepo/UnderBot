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 EUR staged" sheetId="1" r:id="rId1"/>
    <sheet name="All four ToF" sheetId="2" r:id="rId2"/>
    <sheet name="Read first" sheetId="3" r:id="rId3"/>
  </sheets>
  <calcPr calcId="124519" fullCalcOnLoad="1"/>
</workbook>
</file>

<file path=xl/sharedStrings.xml><?xml version="1.0" encoding="utf-8"?>
<sst xmlns="http://schemas.openxmlformats.org/spreadsheetml/2006/main" count="470" uniqueCount="171">
  <si>
    <t>PROPOSED: two ToF initially, two later; EUR569.69 hardware + EUR30.31 reserve.</t>
  </si>
  <si>
    <t>Category</t>
  </si>
  <si>
    <t>Component</t>
  </si>
  <si>
    <t>Qty</t>
  </si>
  <si>
    <t>Unit EUR</t>
  </si>
  <si>
    <t>Subtotal EUR</t>
  </si>
  <si>
    <t>Already have?</t>
  </si>
  <si>
    <t>Phase 1 2027</t>
  </si>
  <si>
    <t>Volt</t>
  </si>
  <si>
    <t>MaxCurrent</t>
  </si>
  <si>
    <t>MaxPower</t>
  </si>
  <si>
    <t>Need?</t>
  </si>
  <si>
    <t>Compute</t>
  </si>
  <si>
    <t>Raspberry Pi 5 8 GB</t>
  </si>
  <si>
    <t>X</t>
  </si>
  <si>
    <t>5 V</t>
  </si>
  <si>
    <t>5 A supply provision</t>
  </si>
  <si>
    <t>25 W supply budget</t>
  </si>
  <si>
    <t>Yes — owned</t>
  </si>
  <si>
    <t>Arms</t>
  </si>
  <si>
    <t>Adeept ADA031 5-DOF arm kit — assemble/calibrate</t>
  </si>
  <si>
    <t>VIN6-24V documented; verify delivered board</t>
  </si>
  <si>
    <t>Stall/peak not verified</t>
  </si>
  <si>
    <t>4 W average assumption, NOT rating</t>
  </si>
  <si>
    <t>One kit first</t>
  </si>
  <si>
    <t>Second Adeept ADA031 kit — optional</t>
  </si>
  <si>
    <t>TBD</t>
  </si>
  <si>
    <t>Later</t>
  </si>
  <si>
    <t>Raspberry Pi AI HAT+ Hailo-8, 26 TOPS</t>
  </si>
  <si>
    <t>Via Pi HAT interface</t>
  </si>
  <si>
    <t>N/S</t>
  </si>
  <si>
    <t>N/S; not assumed 2 W</t>
  </si>
  <si>
    <t>Optional — later</t>
  </si>
  <si>
    <t>Structure</t>
  </si>
  <si>
    <t>Simple mounting deck, arm stiffener and fasteners; reuse materials</t>
  </si>
  <si>
    <t>—</t>
  </si>
  <si>
    <t>Yes — allowance</t>
  </si>
  <si>
    <t>Drive</t>
  </si>
  <si>
    <t>Extra 12 V encoder gearmotors — removed</t>
  </si>
  <si>
    <t>12 V (old proposal)</t>
  </si>
  <si>
    <t>Not selected</t>
  </si>
  <si>
    <t>No initially</t>
  </si>
  <si>
    <t>Cytron MDD10A — removed pending base interface tests</t>
  </si>
  <si>
    <t>Not connected</t>
  </si>
  <si>
    <t>Only if OEM control replaced</t>
  </si>
  <si>
    <t>Used Xiaomi Robot Vacuum T12, with working battery + charger/dock</t>
  </si>
  <si>
    <t>14.8 V battery; 20 V charging input</t>
  </si>
  <si>
    <t>Peak N/S</t>
  </si>
  <si>
    <t>45 W nameplate</t>
  </si>
  <si>
    <t>Yes — used-price target</t>
  </si>
  <si>
    <t>Power</t>
  </si>
  <si>
    <t>New 6S battery + BMS — removed from initial build</t>
  </si>
  <si>
    <t>Not used</t>
  </si>
  <si>
    <t>No — use owned NOCO</t>
  </si>
  <si>
    <t>DC-rated disconnect, main/branch fuses, hardwired actuator stop/reset hardware</t>
  </si>
  <si>
    <t>≥30 V DC rated on 6S side</t>
  </si>
  <si>
    <t>Coordinate with pack, wires and faults</t>
  </si>
  <si>
    <t>Not a load rating</t>
  </si>
  <si>
    <t>Essential — DESIGN/QUOTE HOLD</t>
  </si>
  <si>
    <t>Wiring</t>
  </si>
  <si>
    <t>Rated power harness, XT60/XT30, ferrules, USB data cable, strain relief</t>
  </si>
  <si>
    <t>≥30 V insulation on battery side</t>
  </si>
  <si>
    <t>Per branch; size after length/current check</t>
  </si>
  <si>
    <t>Vision</t>
  </si>
  <si>
    <t>Pi Camera Module 3 Wide / existing equivalent</t>
  </si>
  <si>
    <t>Via CSI connector</t>
  </si>
  <si>
    <t>Included in Pi branch budget</t>
  </si>
  <si>
    <t>52Pi EP-0225 Pi 5 USB-C PD supply module</t>
  </si>
  <si>
    <t>9–24 V DC in; 5.15 V PD out</t>
  </si>
  <si>
    <t>5 A PD output</t>
  </si>
  <si>
    <t>25.75 W PD output capacity</t>
  </si>
  <si>
    <t>Selected — harness check</t>
  </si>
  <si>
    <t>Adeept VIN harness + USB VBUS-blocking interface</t>
  </si>
  <si>
    <t>VIN 6-24 V documented; internal 5 V rail</t>
  </si>
  <si>
    <t>Peak and onboard converter limits to test</t>
  </si>
  <si>
    <t>Essential — revision/backfeed check</t>
  </si>
  <si>
    <t>Pololu D24V50F5 #2851 auxiliary module</t>
  </si>
  <si>
    <t>6-38V in / 5V out</t>
  </si>
  <si>
    <t>5A typical, thermal limited</t>
  </si>
  <si>
    <t>Selected; EUR45 allowance, not quote</t>
  </si>
  <si>
    <t>Solar</t>
  </si>
  <si>
    <t>Roof panel + matched 6S solar charger</t>
  </si>
  <si>
    <t>Panel dependent → 25.2 V CC/CV</t>
  </si>
  <si>
    <t>Panel-rated W; not battery load</t>
  </si>
  <si>
    <t>Sensors</t>
  </si>
  <si>
    <t>Pololu VL53L1X carrier #3415</t>
  </si>
  <si>
    <t>3.3 V chosen; carrier 2.6–5.5 V</t>
  </si>
  <si>
    <t>40 mA peak sensor (not board guarantee)</t>
  </si>
  <si>
    <t>~0.132 W sensor at 3.3 V</t>
  </si>
  <si>
    <t>Two initially; two additional boards deferred</t>
  </si>
  <si>
    <t>256 GB USB 3 SSD</t>
  </si>
  <si>
    <t>5 V USB</t>
  </si>
  <si>
    <t>Check exact SSD/enclosure label</t>
  </si>
  <si>
    <t>New 6S charger — removed</t>
  </si>
  <si>
    <t>No</t>
  </si>
  <si>
    <t>Audio</t>
  </si>
  <si>
    <t>USB two-microphone array</t>
  </si>
  <si>
    <t>Exact model N/S</t>
  </si>
  <si>
    <t>Planned — model selection</t>
  </si>
  <si>
    <t>Existing pan/tilt bracket + 2 MG90S servos</t>
  </si>
  <si>
    <t>5 V selected for later servo rail</t>
  </si>
  <si>
    <t>Stall current needs exact servo test</t>
  </si>
  <si>
    <t>Owned — interface validation</t>
  </si>
  <si>
    <t>2 MAX98357A boards + 2 existing 3 W speakers</t>
  </si>
  <si>
    <t>5 V chosen; IC range 2.5–5.5 V</t>
  </si>
  <si>
    <t>Board/load dependent</t>
  </si>
  <si>
    <t>6 W speaker total ≠ DC input</t>
  </si>
  <si>
    <t>Control</t>
  </si>
  <si>
    <t>Arduino Uno</t>
  </si>
  <si>
    <t>5 V USB / logic</t>
  </si>
  <si>
    <t>Board max N/S</t>
  </si>
  <si>
    <t>Owned — reuse if needed</t>
  </si>
  <si>
    <t>Adafruit ICM-20948 #4554 — body + camera IMUs</t>
  </si>
  <si>
    <t>3.3 V VIN chosen; breakout supports 3–5 V</t>
  </si>
  <si>
    <t>Breakout max N/S</t>
  </si>
  <si>
    <t>Yes — stock/substitute check</t>
  </si>
  <si>
    <t>TCA9548A I2C multiplexer</t>
  </si>
  <si>
    <t>3.3 V chosen</t>
  </si>
  <si>
    <t>Board-dependent</t>
  </si>
  <si>
    <t>Conditional — ToF addressing</t>
  </si>
  <si>
    <t>INA226 current monitor + suitable shunt</t>
  </si>
  <si>
    <t>3.3 V logic; monitored bus ≤36 V</t>
  </si>
  <si>
    <t>Shunt/PCB rating, not IC rating</t>
  </si>
  <si>
    <t>Shunt loss I²R</t>
  </si>
  <si>
    <t>Official Raspberry Pi 5 Active Cooler</t>
  </si>
  <si>
    <t>5 V fan header</t>
  </si>
  <si>
    <t>Check supplied fan label</t>
  </si>
  <si>
    <t>Included in Pi power provision</t>
  </si>
  <si>
    <t>Yes</t>
  </si>
  <si>
    <t>Used Xbox One Kinect v2 sensor — confirmed version</t>
  </si>
  <si>
    <t>12 V through matching adapter; verify label</t>
  </si>
  <si>
    <t>Exact sensor/adapter label needed</t>
  </si>
  <si>
    <t>Yes — used price target</t>
  </si>
  <si>
    <t>Kinect v2 PC adapter + matching PSU + USB 3 cable</t>
  </si>
  <si>
    <t>12 V sensor-side; PSU label governs</t>
  </si>
  <si>
    <t>Provision 3 A rail pending label</t>
  </si>
  <si>
    <t>36 W supply allowance, not sensor rating</t>
  </si>
  <si>
    <t>Required — match exact v2 adapter</t>
  </si>
  <si>
    <t>Pi 5 22-pin to camera 15-pin CSI cable</t>
  </si>
  <si>
    <t>CSI only</t>
  </si>
  <si>
    <t>Yes if not already owned</t>
  </si>
  <si>
    <t>NOCO GB70 — already owned</t>
  </si>
  <si>
    <t>12 V accessory output</t>
  </si>
  <si>
    <t>15 A published output limit</t>
  </si>
  <si>
    <t>56 Wh stored energy</t>
  </si>
  <si>
    <t>Use existing</t>
  </si>
  <si>
    <t>NOCO approved accessory cable + fused mating harness</t>
  </si>
  <si>
    <t>12 V nominal</t>
  </si>
  <si>
    <t>Matched to fuse/wire rating</t>
  </si>
  <si>
    <t>Verify owned accessories first</t>
  </si>
  <si>
    <t>Mean Well DDR-60G-12 Kinect supply module</t>
  </si>
  <si>
    <t>9-36V in / regulated12V out</t>
  </si>
  <si>
    <t>4.25A at &lt;=18V input, &lt;=50C vertical</t>
  </si>
  <si>
    <t>51W under those conditions</t>
  </si>
  <si>
    <t>Selected; EUR35 allowance, not quote</t>
  </si>
  <si>
    <t>Carrier PCB + rail/standoffs/mounting allowance</t>
  </si>
  <si>
    <t>12 V architecture</t>
  </si>
  <si>
    <t>Copper/fuses TBD</t>
  </si>
  <si>
    <t>Fabrication HOLD; EUR45 allowance</t>
  </si>
  <si>
    <t>Delivery and contingency reserve</t>
  </si>
  <si>
    <t>Reserve</t>
  </si>
  <si>
    <t>Pololu VL53L1X carrier #3415 - additional pair later</t>
  </si>
  <si>
    <t>Later; not funded initially</t>
  </si>
  <si>
    <t>TOTAL</t>
  </si>
  <si>
    <t>Full current scope: EUR609.69 hardware before delivery. Not within EUR600.</t>
  </si>
  <si>
    <t>Planned — four sensors</t>
  </si>
  <si>
    <t>Reserve exhausted under current allowances</t>
  </si>
  <si>
    <t>These are funding plans, not a complete quoted basket. No purchases made.</t>
  </si>
  <si>
    <t>The staged sheet is a proposal: two of four ToF sensors deferred, not removed from the final robot. Existing selected modules and battery architecture remain.</t>
  </si>
  <si>
    <t>EUR45 auxiliary module and EUR45 carrier/mechanical allowance replace older smaller estimates. Quotes may still change the total.</t>
  </si>
  <si>
    <t>All protection / module integration holds in README.md still apply. A preview is not fabrication approval.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</si>
</sst>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39" totalsRowShown="0">
  <autoFilter ref="A3:K39"/>
  <tableColumns count="11">
    <tableColumn id="1" name="Category"/>
    <tableColumn id="2" name="Component"/>
    <tableColumn id="3" name="Qty"/>
    <tableColumn id="4" name="Unit EUR"/>
    <tableColumn id="5" name="Subtotal EUR"/>
    <tableColumn id="6" name="Already have?"/>
    <tableColumn id="7" name="Phase 1 2027"/>
    <tableColumn id="8" name="Volt"/>
    <tableColumn id="9" name="MaxCurrent"/>
    <tableColumn id="10" name="MaxPower"/>
    <tableColumn id="11" name="Need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K38" totalsRowShown="0">
  <autoFilter ref="A3:K38"/>
  <tableColumns count="11">
    <tableColumn id="1" name="Category"/>
    <tableColumn id="2" name="Component"/>
    <tableColumn id="3" name="Qty"/>
    <tableColumn id="4" name="Unit EUR"/>
    <tableColumn id="5" name="Subtotal EUR"/>
    <tableColumn id="6" name="Already have?"/>
    <tableColumn id="7" name="Phase 1 2027"/>
    <tableColumn id="8" name="Volt"/>
    <tableColumn id="9" name="MaxCurrent"/>
    <tableColumn id="10" name="MaxPower"/>
    <tableColumn id="11" name="Ne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12.7109375" style="1" customWidth="1"/>
    <col min="2" max="2" width="58.7109375" style="1" customWidth="1"/>
    <col min="3" max="7" width="13.7109375" style="1" customWidth="1"/>
    <col min="8" max="11" width="28.7109375" style="1" customWidth="1"/>
  </cols>
  <sheetData>
    <row r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60" customHeight="1">
      <c r="A4" s="1" t="s">
        <v>12</v>
      </c>
      <c r="B4" s="1" t="s">
        <v>13</v>
      </c>
      <c r="C4" s="1">
        <v>1</v>
      </c>
      <c r="D4" s="1">
        <v>250</v>
      </c>
      <c r="E4" s="1">
        <v>250</v>
      </c>
      <c r="F4" s="1" t="s">
        <v>14</v>
      </c>
      <c r="G4" s="1">
        <v>0</v>
      </c>
      <c r="H4" s="1" t="s">
        <v>15</v>
      </c>
      <c r="I4" s="1" t="s">
        <v>16</v>
      </c>
      <c r="J4" s="1" t="s">
        <v>17</v>
      </c>
      <c r="K4" s="1" t="s">
        <v>18</v>
      </c>
    </row>
    <row r="5" spans="1:11" ht="60" customHeight="1">
      <c r="A5" s="1" t="s">
        <v>19</v>
      </c>
      <c r="B5" s="1" t="s">
        <v>20</v>
      </c>
      <c r="C5" s="1">
        <v>1</v>
      </c>
      <c r="D5" s="1">
        <v>69.98999999999999</v>
      </c>
      <c r="E5" s="1">
        <v>69.98999999999999</v>
      </c>
      <c r="G5" s="1">
        <v>69.98999999999999</v>
      </c>
      <c r="H5" s="1" t="s">
        <v>21</v>
      </c>
      <c r="I5" s="1" t="s">
        <v>22</v>
      </c>
      <c r="J5" s="1" t="s">
        <v>23</v>
      </c>
      <c r="K5" s="1" t="s">
        <v>24</v>
      </c>
    </row>
    <row r="6" spans="1:11" ht="60" customHeight="1">
      <c r="A6" s="1" t="s">
        <v>19</v>
      </c>
      <c r="B6" s="1" t="s">
        <v>25</v>
      </c>
      <c r="C6" s="1">
        <v>1</v>
      </c>
      <c r="D6" s="1">
        <v>69.98999999999999</v>
      </c>
      <c r="E6" s="1">
        <v>69.98999999999999</v>
      </c>
      <c r="G6" s="1">
        <v>0</v>
      </c>
      <c r="H6" s="1" t="s">
        <v>26</v>
      </c>
      <c r="I6" s="1" t="s">
        <v>26</v>
      </c>
      <c r="J6" s="1" t="s">
        <v>26</v>
      </c>
      <c r="K6" s="1" t="s">
        <v>27</v>
      </c>
    </row>
    <row r="7" spans="1:11" ht="60" customHeight="1">
      <c r="A7" s="1" t="s">
        <v>12</v>
      </c>
      <c r="B7" s="1" t="s">
        <v>28</v>
      </c>
      <c r="C7" s="1">
        <v>1</v>
      </c>
      <c r="D7" s="1">
        <v>112</v>
      </c>
      <c r="E7" s="1">
        <v>112</v>
      </c>
      <c r="G7" s="1">
        <v>0</v>
      </c>
      <c r="H7" s="1" t="s">
        <v>29</v>
      </c>
      <c r="I7" s="1" t="s">
        <v>30</v>
      </c>
      <c r="J7" s="1" t="s">
        <v>31</v>
      </c>
      <c r="K7" s="1" t="s">
        <v>32</v>
      </c>
    </row>
    <row r="8" spans="1:11" ht="60" customHeight="1">
      <c r="A8" s="1" t="s">
        <v>33</v>
      </c>
      <c r="B8" s="1" t="s">
        <v>34</v>
      </c>
      <c r="C8" s="1">
        <v>1</v>
      </c>
      <c r="D8" s="1">
        <v>20</v>
      </c>
      <c r="E8" s="1">
        <v>20</v>
      </c>
      <c r="G8" s="1">
        <v>20</v>
      </c>
      <c r="H8" s="1" t="s">
        <v>35</v>
      </c>
      <c r="I8" s="1" t="s">
        <v>35</v>
      </c>
      <c r="J8" s="1" t="s">
        <v>35</v>
      </c>
      <c r="K8" s="1" t="s">
        <v>36</v>
      </c>
    </row>
    <row r="9" spans="1:11" ht="60" customHeight="1">
      <c r="A9" s="1" t="s">
        <v>37</v>
      </c>
      <c r="B9" s="1" t="s">
        <v>38</v>
      </c>
      <c r="C9" s="1">
        <v>0</v>
      </c>
      <c r="D9" s="1">
        <v>15</v>
      </c>
      <c r="E9" s="1">
        <v>0</v>
      </c>
      <c r="G9" s="1">
        <v>0</v>
      </c>
      <c r="H9" s="1" t="s">
        <v>39</v>
      </c>
      <c r="I9" s="1" t="s">
        <v>40</v>
      </c>
      <c r="J9" s="1" t="s">
        <v>40</v>
      </c>
      <c r="K9" s="1" t="s">
        <v>41</v>
      </c>
    </row>
    <row r="10" spans="1:11" ht="60" customHeight="1">
      <c r="A10" s="1" t="s">
        <v>37</v>
      </c>
      <c r="B10" s="1" t="s">
        <v>42</v>
      </c>
      <c r="C10" s="1">
        <v>0</v>
      </c>
      <c r="D10" s="1">
        <v>27.5</v>
      </c>
      <c r="E10" s="1">
        <v>0</v>
      </c>
      <c r="G10" s="1">
        <v>0</v>
      </c>
      <c r="H10" s="1" t="s">
        <v>43</v>
      </c>
      <c r="I10" s="1" t="s">
        <v>40</v>
      </c>
      <c r="J10" s="1" t="s">
        <v>40</v>
      </c>
      <c r="K10" s="1" t="s">
        <v>44</v>
      </c>
    </row>
    <row r="11" spans="1:11" ht="60" customHeight="1">
      <c r="A11" s="1" t="s">
        <v>37</v>
      </c>
      <c r="B11" s="1" t="s">
        <v>45</v>
      </c>
      <c r="C11" s="1">
        <v>1</v>
      </c>
      <c r="D11" s="1">
        <v>50</v>
      </c>
      <c r="E11" s="1">
        <v>50</v>
      </c>
      <c r="G11" s="1">
        <v>50</v>
      </c>
      <c r="H11" s="1" t="s">
        <v>46</v>
      </c>
      <c r="I11" s="1" t="s">
        <v>47</v>
      </c>
      <c r="J11" s="1" t="s">
        <v>48</v>
      </c>
      <c r="K11" s="1" t="s">
        <v>49</v>
      </c>
    </row>
    <row r="12" spans="1:11" ht="60" customHeight="1">
      <c r="A12" s="1" t="s">
        <v>50</v>
      </c>
      <c r="B12" s="1" t="s">
        <v>51</v>
      </c>
      <c r="C12" s="1">
        <v>1</v>
      </c>
      <c r="G12" s="1">
        <v>0</v>
      </c>
      <c r="H12" s="1" t="s">
        <v>52</v>
      </c>
      <c r="I12" s="1" t="s">
        <v>35</v>
      </c>
      <c r="J12" s="1" t="s">
        <v>35</v>
      </c>
      <c r="K12" s="1" t="s">
        <v>53</v>
      </c>
    </row>
    <row r="13" spans="1:11" ht="60" customHeight="1">
      <c r="A13" s="1" t="s">
        <v>50</v>
      </c>
      <c r="B13" s="1" t="s">
        <v>54</v>
      </c>
      <c r="C13" s="1">
        <v>1</v>
      </c>
      <c r="D13" s="1">
        <v>60</v>
      </c>
      <c r="E13" s="1">
        <v>60</v>
      </c>
      <c r="G13" s="1">
        <v>60</v>
      </c>
      <c r="H13" s="1" t="s">
        <v>55</v>
      </c>
      <c r="I13" s="1" t="s">
        <v>56</v>
      </c>
      <c r="J13" s="1" t="s">
        <v>57</v>
      </c>
      <c r="K13" s="1" t="s">
        <v>58</v>
      </c>
    </row>
    <row r="14" spans="1:11" ht="60" customHeight="1">
      <c r="A14" s="1" t="s">
        <v>59</v>
      </c>
      <c r="B14" s="1" t="s">
        <v>60</v>
      </c>
      <c r="C14" s="1">
        <v>1</v>
      </c>
      <c r="D14" s="1">
        <v>20</v>
      </c>
      <c r="E14" s="1">
        <v>20</v>
      </c>
      <c r="G14" s="1">
        <v>20</v>
      </c>
      <c r="H14" s="1" t="s">
        <v>61</v>
      </c>
      <c r="I14" s="1" t="s">
        <v>62</v>
      </c>
      <c r="J14" s="1" t="s">
        <v>35</v>
      </c>
      <c r="K14" s="1" t="s">
        <v>36</v>
      </c>
    </row>
    <row r="15" spans="1:11" ht="60" customHeight="1">
      <c r="A15" s="1" t="s">
        <v>63</v>
      </c>
      <c r="B15" s="1" t="s">
        <v>64</v>
      </c>
      <c r="C15" s="1">
        <v>1</v>
      </c>
      <c r="D15" s="1">
        <v>35</v>
      </c>
      <c r="E15" s="1">
        <v>35</v>
      </c>
      <c r="F15" s="1" t="s">
        <v>14</v>
      </c>
      <c r="G15" s="1">
        <v>0</v>
      </c>
      <c r="H15" s="1" t="s">
        <v>65</v>
      </c>
      <c r="I15" s="1" t="s">
        <v>30</v>
      </c>
      <c r="J15" s="1" t="s">
        <v>66</v>
      </c>
      <c r="K15" s="1" t="s">
        <v>18</v>
      </c>
    </row>
    <row r="16" spans="1:11" ht="60" customHeight="1">
      <c r="A16" s="1" t="s">
        <v>50</v>
      </c>
      <c r="B16" s="1" t="s">
        <v>67</v>
      </c>
      <c r="C16" s="1">
        <v>1</v>
      </c>
      <c r="D16" s="1">
        <v>35</v>
      </c>
      <c r="E16" s="1">
        <v>35</v>
      </c>
      <c r="G16" s="1">
        <v>35</v>
      </c>
      <c r="H16" s="1" t="s">
        <v>68</v>
      </c>
      <c r="I16" s="1" t="s">
        <v>69</v>
      </c>
      <c r="J16" s="1" t="s">
        <v>70</v>
      </c>
      <c r="K16" s="1" t="s">
        <v>71</v>
      </c>
    </row>
    <row r="17" spans="1:11" ht="60" customHeight="1">
      <c r="A17" s="1" t="s">
        <v>50</v>
      </c>
      <c r="B17" s="1" t="s">
        <v>72</v>
      </c>
      <c r="C17" s="1">
        <v>1</v>
      </c>
      <c r="D17" s="1">
        <v>20</v>
      </c>
      <c r="E17" s="1">
        <v>20</v>
      </c>
      <c r="G17" s="1">
        <v>20</v>
      </c>
      <c r="H17" s="1" t="s">
        <v>73</v>
      </c>
      <c r="I17" s="1" t="s">
        <v>74</v>
      </c>
      <c r="J17" s="1" t="s">
        <v>26</v>
      </c>
      <c r="K17" s="1" t="s">
        <v>75</v>
      </c>
    </row>
    <row r="18" spans="1:11" ht="60" customHeight="1">
      <c r="A18" s="1" t="s">
        <v>50</v>
      </c>
      <c r="B18" s="1" t="s">
        <v>76</v>
      </c>
      <c r="C18" s="1">
        <v>1</v>
      </c>
      <c r="D18" s="1">
        <v>45</v>
      </c>
      <c r="E18" s="1">
        <v>45</v>
      </c>
      <c r="G18" s="1">
        <v>45</v>
      </c>
      <c r="H18" s="1" t="s">
        <v>77</v>
      </c>
      <c r="I18" s="1" t="s">
        <v>78</v>
      </c>
      <c r="J18" s="1" t="s">
        <v>26</v>
      </c>
      <c r="K18" s="1" t="s">
        <v>79</v>
      </c>
    </row>
    <row r="19" spans="1:11" ht="60" customHeight="1">
      <c r="A19" s="1" t="s">
        <v>80</v>
      </c>
      <c r="B19" s="1" t="s">
        <v>81</v>
      </c>
      <c r="C19" s="1">
        <v>1</v>
      </c>
      <c r="G19" s="1">
        <v>0</v>
      </c>
      <c r="H19" s="1" t="s">
        <v>82</v>
      </c>
      <c r="I19" s="1" t="s">
        <v>26</v>
      </c>
      <c r="J19" s="1" t="s">
        <v>83</v>
      </c>
      <c r="K19" s="1" t="s">
        <v>32</v>
      </c>
    </row>
    <row r="20" spans="1:11" ht="60" customHeight="1">
      <c r="A20" s="1" t="s">
        <v>84</v>
      </c>
      <c r="B20" s="1" t="s">
        <v>85</v>
      </c>
      <c r="C20" s="1">
        <v>2</v>
      </c>
      <c r="D20" s="1">
        <v>20</v>
      </c>
      <c r="E20" s="1">
        <v>40</v>
      </c>
      <c r="G20" s="1">
        <v>40</v>
      </c>
      <c r="H20" s="1" t="s">
        <v>86</v>
      </c>
      <c r="I20" s="1" t="s">
        <v>87</v>
      </c>
      <c r="J20" s="1" t="s">
        <v>88</v>
      </c>
      <c r="K20" s="1" t="s">
        <v>89</v>
      </c>
    </row>
    <row r="21" spans="1:11" ht="60" customHeight="1">
      <c r="A21" s="1" t="s">
        <v>12</v>
      </c>
      <c r="B21" s="1" t="s">
        <v>90</v>
      </c>
      <c r="C21" s="1">
        <v>1</v>
      </c>
      <c r="D21" s="1">
        <v>25</v>
      </c>
      <c r="E21" s="1">
        <v>25</v>
      </c>
      <c r="F21" s="1" t="s">
        <v>14</v>
      </c>
      <c r="G21" s="1">
        <v>0</v>
      </c>
      <c r="H21" s="1" t="s">
        <v>91</v>
      </c>
      <c r="I21" s="1" t="s">
        <v>92</v>
      </c>
      <c r="J21" s="1" t="s">
        <v>30</v>
      </c>
      <c r="K21" s="1" t="s">
        <v>18</v>
      </c>
    </row>
    <row r="22" spans="1:11" ht="60" customHeight="1">
      <c r="A22" s="1" t="s">
        <v>50</v>
      </c>
      <c r="B22" s="1" t="s">
        <v>93</v>
      </c>
      <c r="C22" s="1">
        <v>1</v>
      </c>
      <c r="G22" s="1">
        <v>0</v>
      </c>
      <c r="H22" s="1" t="s">
        <v>52</v>
      </c>
      <c r="I22" s="1" t="s">
        <v>35</v>
      </c>
      <c r="J22" s="1" t="s">
        <v>35</v>
      </c>
      <c r="K22" s="1" t="s">
        <v>94</v>
      </c>
    </row>
    <row r="23" spans="1:11" ht="60" customHeight="1">
      <c r="A23" s="1" t="s">
        <v>95</v>
      </c>
      <c r="B23" s="1" t="s">
        <v>96</v>
      </c>
      <c r="C23" s="1">
        <v>1</v>
      </c>
      <c r="D23" s="1">
        <v>20</v>
      </c>
      <c r="E23" s="1">
        <v>20</v>
      </c>
      <c r="G23" s="1">
        <v>20</v>
      </c>
      <c r="H23" s="1" t="s">
        <v>91</v>
      </c>
      <c r="I23" s="1" t="s">
        <v>97</v>
      </c>
      <c r="J23" s="1" t="s">
        <v>30</v>
      </c>
      <c r="K23" s="1" t="s">
        <v>98</v>
      </c>
    </row>
    <row r="24" spans="1:11" ht="60" customHeight="1">
      <c r="A24" s="1" t="s">
        <v>63</v>
      </c>
      <c r="B24" s="1" t="s">
        <v>99</v>
      </c>
      <c r="C24" s="1">
        <v>1</v>
      </c>
      <c r="D24" s="1">
        <v>15</v>
      </c>
      <c r="E24" s="1">
        <v>15</v>
      </c>
      <c r="F24" s="1" t="s">
        <v>14</v>
      </c>
      <c r="G24" s="1">
        <v>0</v>
      </c>
      <c r="H24" s="1" t="s">
        <v>100</v>
      </c>
      <c r="I24" s="1" t="s">
        <v>101</v>
      </c>
      <c r="J24" s="1" t="s">
        <v>26</v>
      </c>
      <c r="K24" s="1" t="s">
        <v>102</v>
      </c>
    </row>
    <row r="25" spans="1:11" ht="60" customHeight="1">
      <c r="A25" s="1" t="s">
        <v>95</v>
      </c>
      <c r="B25" s="1" t="s">
        <v>103</v>
      </c>
      <c r="C25" s="1">
        <v>1</v>
      </c>
      <c r="D25" s="1">
        <v>12</v>
      </c>
      <c r="E25" s="1">
        <v>12</v>
      </c>
      <c r="F25" s="1" t="s">
        <v>14</v>
      </c>
      <c r="G25" s="1">
        <v>0</v>
      </c>
      <c r="H25" s="1" t="s">
        <v>104</v>
      </c>
      <c r="I25" s="1" t="s">
        <v>105</v>
      </c>
      <c r="J25" s="1" t="s">
        <v>106</v>
      </c>
      <c r="K25" s="1" t="s">
        <v>102</v>
      </c>
    </row>
    <row r="26" spans="1:11" ht="60" customHeight="1">
      <c r="A26" s="1" t="s">
        <v>107</v>
      </c>
      <c r="B26" s="1" t="s">
        <v>108</v>
      </c>
      <c r="C26" s="1">
        <v>1</v>
      </c>
      <c r="D26" s="1">
        <v>12</v>
      </c>
      <c r="E26" s="1">
        <v>12</v>
      </c>
      <c r="F26" s="1" t="s">
        <v>14</v>
      </c>
      <c r="G26" s="1">
        <v>0</v>
      </c>
      <c r="H26" s="1" t="s">
        <v>109</v>
      </c>
      <c r="I26" s="1" t="s">
        <v>110</v>
      </c>
      <c r="J26" s="1" t="s">
        <v>30</v>
      </c>
      <c r="K26" s="1" t="s">
        <v>111</v>
      </c>
    </row>
    <row r="27" spans="1:11" ht="60" customHeight="1">
      <c r="A27" s="1" t="s">
        <v>107</v>
      </c>
      <c r="B27" s="1" t="s">
        <v>112</v>
      </c>
      <c r="C27" s="1">
        <v>2</v>
      </c>
      <c r="D27" s="1">
        <v>14.9</v>
      </c>
      <c r="E27" s="1">
        <v>29.8</v>
      </c>
      <c r="G27" s="1">
        <v>29.8</v>
      </c>
      <c r="H27" s="1" t="s">
        <v>113</v>
      </c>
      <c r="I27" s="1" t="s">
        <v>114</v>
      </c>
      <c r="J27" s="1" t="s">
        <v>30</v>
      </c>
      <c r="K27" s="1" t="s">
        <v>115</v>
      </c>
    </row>
    <row r="28" spans="1:11" ht="60" customHeight="1">
      <c r="A28" s="1" t="s">
        <v>84</v>
      </c>
      <c r="B28" s="1" t="s">
        <v>116</v>
      </c>
      <c r="C28" s="1">
        <v>1</v>
      </c>
      <c r="D28" s="1">
        <v>5</v>
      </c>
      <c r="E28" s="1">
        <v>5</v>
      </c>
      <c r="G28" s="1">
        <v>5</v>
      </c>
      <c r="H28" s="1" t="s">
        <v>117</v>
      </c>
      <c r="I28" s="1" t="s">
        <v>118</v>
      </c>
      <c r="J28" s="1" t="s">
        <v>30</v>
      </c>
      <c r="K28" s="1" t="s">
        <v>119</v>
      </c>
    </row>
    <row r="29" spans="1:11" ht="60" customHeight="1">
      <c r="A29" s="1" t="s">
        <v>84</v>
      </c>
      <c r="B29" s="1" t="s">
        <v>120</v>
      </c>
      <c r="C29" s="1">
        <v>1</v>
      </c>
      <c r="D29" s="1">
        <v>8</v>
      </c>
      <c r="E29" s="1">
        <v>8</v>
      </c>
      <c r="G29" s="1">
        <v>0</v>
      </c>
      <c r="H29" s="1" t="s">
        <v>121</v>
      </c>
      <c r="I29" s="1" t="s">
        <v>122</v>
      </c>
      <c r="J29" s="1" t="s">
        <v>123</v>
      </c>
      <c r="K29" s="1" t="s">
        <v>32</v>
      </c>
    </row>
    <row r="30" spans="1:11" ht="60" customHeight="1">
      <c r="A30" s="1" t="s">
        <v>12</v>
      </c>
      <c r="B30" s="1" t="s">
        <v>124</v>
      </c>
      <c r="C30" s="1">
        <v>1</v>
      </c>
      <c r="D30" s="1">
        <v>5.9</v>
      </c>
      <c r="E30" s="1">
        <v>5.9</v>
      </c>
      <c r="G30" s="1">
        <v>5.9</v>
      </c>
      <c r="H30" s="1" t="s">
        <v>125</v>
      </c>
      <c r="I30" s="1" t="s">
        <v>126</v>
      </c>
      <c r="J30" s="1" t="s">
        <v>127</v>
      </c>
      <c r="K30" s="1" t="s">
        <v>128</v>
      </c>
    </row>
    <row r="31" spans="1:11" ht="60" customHeight="1">
      <c r="A31" s="1" t="s">
        <v>63</v>
      </c>
      <c r="B31" s="1" t="s">
        <v>129</v>
      </c>
      <c r="C31" s="1">
        <v>1</v>
      </c>
      <c r="D31" s="1">
        <v>10</v>
      </c>
      <c r="E31" s="1">
        <v>10</v>
      </c>
      <c r="G31" s="1">
        <v>10</v>
      </c>
      <c r="H31" s="1" t="s">
        <v>130</v>
      </c>
      <c r="I31" s="1" t="s">
        <v>131</v>
      </c>
      <c r="J31" s="1" t="s">
        <v>30</v>
      </c>
      <c r="K31" s="1" t="s">
        <v>132</v>
      </c>
    </row>
    <row r="32" spans="1:11" ht="60" customHeight="1">
      <c r="A32" s="1" t="s">
        <v>63</v>
      </c>
      <c r="B32" s="1" t="s">
        <v>133</v>
      </c>
      <c r="C32" s="1">
        <v>1</v>
      </c>
      <c r="D32" s="1">
        <v>40</v>
      </c>
      <c r="E32" s="1">
        <v>40</v>
      </c>
      <c r="G32" s="1">
        <v>40</v>
      </c>
      <c r="H32" s="1" t="s">
        <v>134</v>
      </c>
      <c r="I32" s="1" t="s">
        <v>135</v>
      </c>
      <c r="J32" s="1" t="s">
        <v>136</v>
      </c>
      <c r="K32" s="1" t="s">
        <v>137</v>
      </c>
    </row>
    <row r="33" spans="1:11" ht="60" customHeight="1">
      <c r="A33" s="1" t="s">
        <v>59</v>
      </c>
      <c r="B33" s="1" t="s">
        <v>138</v>
      </c>
      <c r="C33" s="1">
        <v>1</v>
      </c>
      <c r="D33" s="1">
        <v>4</v>
      </c>
      <c r="E33" s="1">
        <v>4</v>
      </c>
      <c r="G33" s="1">
        <v>4</v>
      </c>
      <c r="H33" s="1" t="s">
        <v>139</v>
      </c>
      <c r="I33" s="1" t="s">
        <v>35</v>
      </c>
      <c r="J33" s="1" t="s">
        <v>35</v>
      </c>
      <c r="K33" s="1" t="s">
        <v>140</v>
      </c>
    </row>
    <row r="34" spans="1:11" ht="60" customHeight="1">
      <c r="A34" s="1" t="s">
        <v>50</v>
      </c>
      <c r="B34" s="1" t="s">
        <v>141</v>
      </c>
      <c r="C34" s="1">
        <v>1</v>
      </c>
      <c r="D34" s="1">
        <v>0</v>
      </c>
      <c r="E34" s="1">
        <v>0</v>
      </c>
      <c r="F34" s="1" t="s">
        <v>14</v>
      </c>
      <c r="G34" s="1">
        <v>0</v>
      </c>
      <c r="H34" s="1" t="s">
        <v>142</v>
      </c>
      <c r="I34" s="1" t="s">
        <v>143</v>
      </c>
      <c r="J34" s="1" t="s">
        <v>144</v>
      </c>
      <c r="K34" s="1" t="s">
        <v>145</v>
      </c>
    </row>
    <row r="35" spans="1:11" ht="60" customHeight="1">
      <c r="A35" s="1" t="s">
        <v>50</v>
      </c>
      <c r="B35" s="1" t="s">
        <v>146</v>
      </c>
      <c r="C35" s="1">
        <v>1</v>
      </c>
      <c r="D35" s="1">
        <v>15</v>
      </c>
      <c r="E35" s="1">
        <v>15</v>
      </c>
      <c r="G35" s="1">
        <v>15</v>
      </c>
      <c r="H35" s="1" t="s">
        <v>147</v>
      </c>
      <c r="I35" s="1" t="s">
        <v>148</v>
      </c>
      <c r="J35" s="1" t="s">
        <v>35</v>
      </c>
      <c r="K35" s="1" t="s">
        <v>149</v>
      </c>
    </row>
    <row r="36" spans="1:11" ht="60" customHeight="1">
      <c r="A36" s="1" t="s">
        <v>50</v>
      </c>
      <c r="B36" s="1" t="s">
        <v>150</v>
      </c>
      <c r="C36" s="1">
        <v>1</v>
      </c>
      <c r="D36" s="1">
        <v>35</v>
      </c>
      <c r="E36" s="1">
        <v>35</v>
      </c>
      <c r="G36" s="1">
        <v>35</v>
      </c>
      <c r="H36" s="1" t="s">
        <v>151</v>
      </c>
      <c r="I36" s="1" t="s">
        <v>152</v>
      </c>
      <c r="J36" s="1" t="s">
        <v>153</v>
      </c>
      <c r="K36" s="1" t="s">
        <v>154</v>
      </c>
    </row>
    <row r="37" spans="1:11" ht="60" customHeight="1">
      <c r="A37" s="1" t="s">
        <v>50</v>
      </c>
      <c r="B37" s="1" t="s">
        <v>155</v>
      </c>
      <c r="C37" s="1">
        <v>1</v>
      </c>
      <c r="D37" s="1">
        <v>45</v>
      </c>
      <c r="E37" s="1">
        <v>45</v>
      </c>
      <c r="G37" s="1">
        <v>45</v>
      </c>
      <c r="H37" s="1" t="s">
        <v>156</v>
      </c>
      <c r="I37" s="1" t="s">
        <v>157</v>
      </c>
      <c r="J37" s="1" t="s">
        <v>35</v>
      </c>
      <c r="K37" s="1" t="s">
        <v>158</v>
      </c>
    </row>
    <row r="38" spans="1:11" ht="60" customHeight="1">
      <c r="A38" s="1" t="s">
        <v>50</v>
      </c>
      <c r="B38" s="1" t="s">
        <v>159</v>
      </c>
      <c r="C38" s="1">
        <v>1</v>
      </c>
      <c r="D38" s="1">
        <v>30.31</v>
      </c>
      <c r="E38" s="1">
        <v>30.31</v>
      </c>
      <c r="G38" s="1">
        <v>30.31</v>
      </c>
      <c r="H38" s="1" t="s">
        <v>35</v>
      </c>
      <c r="I38" s="1" t="s">
        <v>35</v>
      </c>
      <c r="J38" s="1" t="s">
        <v>35</v>
      </c>
      <c r="K38" s="1" t="s">
        <v>160</v>
      </c>
    </row>
    <row r="39" spans="1:11" ht="60" customHeight="1">
      <c r="A39" s="1" t="s">
        <v>84</v>
      </c>
      <c r="B39" s="1" t="s">
        <v>161</v>
      </c>
      <c r="C39" s="1">
        <v>2</v>
      </c>
      <c r="D39" s="1">
        <v>20</v>
      </c>
      <c r="E39" s="1">
        <v>40</v>
      </c>
      <c r="G39" s="1">
        <v>0</v>
      </c>
      <c r="H39" s="1" t="s">
        <v>86</v>
      </c>
      <c r="I39" s="1" t="s">
        <v>87</v>
      </c>
      <c r="J39" s="1" t="s">
        <v>88</v>
      </c>
      <c r="K39" s="1" t="s">
        <v>162</v>
      </c>
    </row>
    <row r="41" spans="1:11">
      <c r="F41" s="1" t="s">
        <v>163</v>
      </c>
      <c r="G41" s="3">
        <f>SUM(G4:G39)</f>
        <v>600.0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4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12.7109375" style="1" customWidth="1"/>
    <col min="2" max="2" width="58.7109375" style="1" customWidth="1"/>
    <col min="3" max="7" width="13.7109375" style="1" customWidth="1"/>
    <col min="8" max="11" width="28.7109375" style="1" customWidth="1"/>
  </cols>
  <sheetData>
    <row r="1" spans="1:11">
      <c r="A1" s="2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60" customHeight="1">
      <c r="A4" s="1" t="s">
        <v>12</v>
      </c>
      <c r="B4" s="1" t="s">
        <v>13</v>
      </c>
      <c r="C4" s="1">
        <v>1</v>
      </c>
      <c r="D4" s="1">
        <v>250</v>
      </c>
      <c r="E4" s="1">
        <v>250</v>
      </c>
      <c r="F4" s="1" t="s">
        <v>14</v>
      </c>
      <c r="G4" s="1">
        <v>0</v>
      </c>
      <c r="H4" s="1" t="s">
        <v>15</v>
      </c>
      <c r="I4" s="1" t="s">
        <v>16</v>
      </c>
      <c r="J4" s="1" t="s">
        <v>17</v>
      </c>
      <c r="K4" s="1" t="s">
        <v>18</v>
      </c>
    </row>
    <row r="5" spans="1:11" ht="60" customHeight="1">
      <c r="A5" s="1" t="s">
        <v>19</v>
      </c>
      <c r="B5" s="1" t="s">
        <v>20</v>
      </c>
      <c r="C5" s="1">
        <v>1</v>
      </c>
      <c r="D5" s="1">
        <v>69.98999999999999</v>
      </c>
      <c r="E5" s="1">
        <v>69.98999999999999</v>
      </c>
      <c r="G5" s="1">
        <v>69.98999999999999</v>
      </c>
      <c r="H5" s="1" t="s">
        <v>21</v>
      </c>
      <c r="I5" s="1" t="s">
        <v>22</v>
      </c>
      <c r="J5" s="1" t="s">
        <v>23</v>
      </c>
      <c r="K5" s="1" t="s">
        <v>24</v>
      </c>
    </row>
    <row r="6" spans="1:11" ht="60" customHeight="1">
      <c r="A6" s="1" t="s">
        <v>19</v>
      </c>
      <c r="B6" s="1" t="s">
        <v>25</v>
      </c>
      <c r="C6" s="1">
        <v>1</v>
      </c>
      <c r="D6" s="1">
        <v>69.98999999999999</v>
      </c>
      <c r="E6" s="1">
        <v>69.98999999999999</v>
      </c>
      <c r="G6" s="1">
        <v>0</v>
      </c>
      <c r="H6" s="1" t="s">
        <v>26</v>
      </c>
      <c r="I6" s="1" t="s">
        <v>26</v>
      </c>
      <c r="J6" s="1" t="s">
        <v>26</v>
      </c>
      <c r="K6" s="1" t="s">
        <v>27</v>
      </c>
    </row>
    <row r="7" spans="1:11" ht="60" customHeight="1">
      <c r="A7" s="1" t="s">
        <v>12</v>
      </c>
      <c r="B7" s="1" t="s">
        <v>28</v>
      </c>
      <c r="C7" s="1">
        <v>1</v>
      </c>
      <c r="D7" s="1">
        <v>112</v>
      </c>
      <c r="E7" s="1">
        <v>112</v>
      </c>
      <c r="G7" s="1">
        <v>0</v>
      </c>
      <c r="H7" s="1" t="s">
        <v>29</v>
      </c>
      <c r="I7" s="1" t="s">
        <v>30</v>
      </c>
      <c r="J7" s="1" t="s">
        <v>31</v>
      </c>
      <c r="K7" s="1" t="s">
        <v>32</v>
      </c>
    </row>
    <row r="8" spans="1:11" ht="60" customHeight="1">
      <c r="A8" s="1" t="s">
        <v>33</v>
      </c>
      <c r="B8" s="1" t="s">
        <v>34</v>
      </c>
      <c r="C8" s="1">
        <v>1</v>
      </c>
      <c r="D8" s="1">
        <v>20</v>
      </c>
      <c r="E8" s="1">
        <v>20</v>
      </c>
      <c r="G8" s="1">
        <v>20</v>
      </c>
      <c r="H8" s="1" t="s">
        <v>35</v>
      </c>
      <c r="I8" s="1" t="s">
        <v>35</v>
      </c>
      <c r="J8" s="1" t="s">
        <v>35</v>
      </c>
      <c r="K8" s="1" t="s">
        <v>36</v>
      </c>
    </row>
    <row r="9" spans="1:11" ht="60" customHeight="1">
      <c r="A9" s="1" t="s">
        <v>37</v>
      </c>
      <c r="B9" s="1" t="s">
        <v>38</v>
      </c>
      <c r="C9" s="1">
        <v>0</v>
      </c>
      <c r="D9" s="1">
        <v>15</v>
      </c>
      <c r="E9" s="1">
        <v>0</v>
      </c>
      <c r="G9" s="1">
        <v>0</v>
      </c>
      <c r="H9" s="1" t="s">
        <v>39</v>
      </c>
      <c r="I9" s="1" t="s">
        <v>40</v>
      </c>
      <c r="J9" s="1" t="s">
        <v>40</v>
      </c>
      <c r="K9" s="1" t="s">
        <v>41</v>
      </c>
    </row>
    <row r="10" spans="1:11" ht="60" customHeight="1">
      <c r="A10" s="1" t="s">
        <v>37</v>
      </c>
      <c r="B10" s="1" t="s">
        <v>42</v>
      </c>
      <c r="C10" s="1">
        <v>0</v>
      </c>
      <c r="D10" s="1">
        <v>27.5</v>
      </c>
      <c r="E10" s="1">
        <v>0</v>
      </c>
      <c r="G10" s="1">
        <v>0</v>
      </c>
      <c r="H10" s="1" t="s">
        <v>43</v>
      </c>
      <c r="I10" s="1" t="s">
        <v>40</v>
      </c>
      <c r="J10" s="1" t="s">
        <v>40</v>
      </c>
      <c r="K10" s="1" t="s">
        <v>44</v>
      </c>
    </row>
    <row r="11" spans="1:11" ht="60" customHeight="1">
      <c r="A11" s="1" t="s">
        <v>37</v>
      </c>
      <c r="B11" s="1" t="s">
        <v>45</v>
      </c>
      <c r="C11" s="1">
        <v>1</v>
      </c>
      <c r="D11" s="1">
        <v>50</v>
      </c>
      <c r="E11" s="1">
        <v>50</v>
      </c>
      <c r="G11" s="1">
        <v>50</v>
      </c>
      <c r="H11" s="1" t="s">
        <v>46</v>
      </c>
      <c r="I11" s="1" t="s">
        <v>47</v>
      </c>
      <c r="J11" s="1" t="s">
        <v>48</v>
      </c>
      <c r="K11" s="1" t="s">
        <v>49</v>
      </c>
    </row>
    <row r="12" spans="1:11" ht="60" customHeight="1">
      <c r="A12" s="1" t="s">
        <v>50</v>
      </c>
      <c r="B12" s="1" t="s">
        <v>51</v>
      </c>
      <c r="C12" s="1">
        <v>1</v>
      </c>
      <c r="G12" s="1">
        <v>0</v>
      </c>
      <c r="H12" s="1" t="s">
        <v>52</v>
      </c>
      <c r="I12" s="1" t="s">
        <v>35</v>
      </c>
      <c r="J12" s="1" t="s">
        <v>35</v>
      </c>
      <c r="K12" s="1" t="s">
        <v>53</v>
      </c>
    </row>
    <row r="13" spans="1:11" ht="60" customHeight="1">
      <c r="A13" s="1" t="s">
        <v>50</v>
      </c>
      <c r="B13" s="1" t="s">
        <v>54</v>
      </c>
      <c r="C13" s="1">
        <v>1</v>
      </c>
      <c r="D13" s="1">
        <v>60</v>
      </c>
      <c r="E13" s="1">
        <v>60</v>
      </c>
      <c r="G13" s="1">
        <v>60</v>
      </c>
      <c r="H13" s="1" t="s">
        <v>55</v>
      </c>
      <c r="I13" s="1" t="s">
        <v>56</v>
      </c>
      <c r="J13" s="1" t="s">
        <v>57</v>
      </c>
      <c r="K13" s="1" t="s">
        <v>58</v>
      </c>
    </row>
    <row r="14" spans="1:11" ht="60" customHeight="1">
      <c r="A14" s="1" t="s">
        <v>59</v>
      </c>
      <c r="B14" s="1" t="s">
        <v>60</v>
      </c>
      <c r="C14" s="1">
        <v>1</v>
      </c>
      <c r="D14" s="1">
        <v>20</v>
      </c>
      <c r="E14" s="1">
        <v>20</v>
      </c>
      <c r="G14" s="1">
        <v>20</v>
      </c>
      <c r="H14" s="1" t="s">
        <v>61</v>
      </c>
      <c r="I14" s="1" t="s">
        <v>62</v>
      </c>
      <c r="J14" s="1" t="s">
        <v>35</v>
      </c>
      <c r="K14" s="1" t="s">
        <v>36</v>
      </c>
    </row>
    <row r="15" spans="1:11" ht="60" customHeight="1">
      <c r="A15" s="1" t="s">
        <v>63</v>
      </c>
      <c r="B15" s="1" t="s">
        <v>64</v>
      </c>
      <c r="C15" s="1">
        <v>1</v>
      </c>
      <c r="D15" s="1">
        <v>35</v>
      </c>
      <c r="E15" s="1">
        <v>35</v>
      </c>
      <c r="F15" s="1" t="s">
        <v>14</v>
      </c>
      <c r="G15" s="1">
        <v>0</v>
      </c>
      <c r="H15" s="1" t="s">
        <v>65</v>
      </c>
      <c r="I15" s="1" t="s">
        <v>30</v>
      </c>
      <c r="J15" s="1" t="s">
        <v>66</v>
      </c>
      <c r="K15" s="1" t="s">
        <v>18</v>
      </c>
    </row>
    <row r="16" spans="1:11" ht="60" customHeight="1">
      <c r="A16" s="1" t="s">
        <v>50</v>
      </c>
      <c r="B16" s="1" t="s">
        <v>67</v>
      </c>
      <c r="C16" s="1">
        <v>1</v>
      </c>
      <c r="D16" s="1">
        <v>35</v>
      </c>
      <c r="E16" s="1">
        <v>35</v>
      </c>
      <c r="G16" s="1">
        <v>35</v>
      </c>
      <c r="H16" s="1" t="s">
        <v>68</v>
      </c>
      <c r="I16" s="1" t="s">
        <v>69</v>
      </c>
      <c r="J16" s="1" t="s">
        <v>70</v>
      </c>
      <c r="K16" s="1" t="s">
        <v>71</v>
      </c>
    </row>
    <row r="17" spans="1:11" ht="60" customHeight="1">
      <c r="A17" s="1" t="s">
        <v>50</v>
      </c>
      <c r="B17" s="1" t="s">
        <v>72</v>
      </c>
      <c r="C17" s="1">
        <v>1</v>
      </c>
      <c r="D17" s="1">
        <v>20</v>
      </c>
      <c r="E17" s="1">
        <v>20</v>
      </c>
      <c r="G17" s="1">
        <v>20</v>
      </c>
      <c r="H17" s="1" t="s">
        <v>73</v>
      </c>
      <c r="I17" s="1" t="s">
        <v>74</v>
      </c>
      <c r="J17" s="1" t="s">
        <v>26</v>
      </c>
      <c r="K17" s="1" t="s">
        <v>75</v>
      </c>
    </row>
    <row r="18" spans="1:11" ht="60" customHeight="1">
      <c r="A18" s="1" t="s">
        <v>50</v>
      </c>
      <c r="B18" s="1" t="s">
        <v>76</v>
      </c>
      <c r="C18" s="1">
        <v>1</v>
      </c>
      <c r="D18" s="1">
        <v>45</v>
      </c>
      <c r="E18" s="1">
        <v>45</v>
      </c>
      <c r="G18" s="1">
        <v>45</v>
      </c>
      <c r="H18" s="1" t="s">
        <v>77</v>
      </c>
      <c r="I18" s="1" t="s">
        <v>78</v>
      </c>
      <c r="J18" s="1" t="s">
        <v>26</v>
      </c>
      <c r="K18" s="1" t="s">
        <v>79</v>
      </c>
    </row>
    <row r="19" spans="1:11" ht="60" customHeight="1">
      <c r="A19" s="1" t="s">
        <v>80</v>
      </c>
      <c r="B19" s="1" t="s">
        <v>81</v>
      </c>
      <c r="C19" s="1">
        <v>1</v>
      </c>
      <c r="G19" s="1">
        <v>0</v>
      </c>
      <c r="H19" s="1" t="s">
        <v>82</v>
      </c>
      <c r="I19" s="1" t="s">
        <v>26</v>
      </c>
      <c r="J19" s="1" t="s">
        <v>83</v>
      </c>
      <c r="K19" s="1" t="s">
        <v>32</v>
      </c>
    </row>
    <row r="20" spans="1:11" ht="60" customHeight="1">
      <c r="A20" s="1" t="s">
        <v>84</v>
      </c>
      <c r="B20" s="1" t="s">
        <v>85</v>
      </c>
      <c r="C20" s="1">
        <v>4</v>
      </c>
      <c r="D20" s="1">
        <v>20</v>
      </c>
      <c r="E20" s="1">
        <v>80</v>
      </c>
      <c r="G20" s="1">
        <v>80</v>
      </c>
      <c r="H20" s="1" t="s">
        <v>86</v>
      </c>
      <c r="I20" s="1" t="s">
        <v>87</v>
      </c>
      <c r="J20" s="1" t="s">
        <v>88</v>
      </c>
      <c r="K20" s="1" t="s">
        <v>165</v>
      </c>
    </row>
    <row r="21" spans="1:11" ht="60" customHeight="1">
      <c r="A21" s="1" t="s">
        <v>12</v>
      </c>
      <c r="B21" s="1" t="s">
        <v>90</v>
      </c>
      <c r="C21" s="1">
        <v>1</v>
      </c>
      <c r="D21" s="1">
        <v>25</v>
      </c>
      <c r="E21" s="1">
        <v>25</v>
      </c>
      <c r="F21" s="1" t="s">
        <v>14</v>
      </c>
      <c r="G21" s="1">
        <v>0</v>
      </c>
      <c r="H21" s="1" t="s">
        <v>91</v>
      </c>
      <c r="I21" s="1" t="s">
        <v>92</v>
      </c>
      <c r="J21" s="1" t="s">
        <v>30</v>
      </c>
      <c r="K21" s="1" t="s">
        <v>18</v>
      </c>
    </row>
    <row r="22" spans="1:11" ht="60" customHeight="1">
      <c r="A22" s="1" t="s">
        <v>50</v>
      </c>
      <c r="B22" s="1" t="s">
        <v>93</v>
      </c>
      <c r="C22" s="1">
        <v>1</v>
      </c>
      <c r="G22" s="1">
        <v>0</v>
      </c>
      <c r="H22" s="1" t="s">
        <v>52</v>
      </c>
      <c r="I22" s="1" t="s">
        <v>35</v>
      </c>
      <c r="J22" s="1" t="s">
        <v>35</v>
      </c>
      <c r="K22" s="1" t="s">
        <v>94</v>
      </c>
    </row>
    <row r="23" spans="1:11" ht="60" customHeight="1">
      <c r="A23" s="1" t="s">
        <v>95</v>
      </c>
      <c r="B23" s="1" t="s">
        <v>96</v>
      </c>
      <c r="C23" s="1">
        <v>1</v>
      </c>
      <c r="D23" s="1">
        <v>20</v>
      </c>
      <c r="E23" s="1">
        <v>20</v>
      </c>
      <c r="G23" s="1">
        <v>20</v>
      </c>
      <c r="H23" s="1" t="s">
        <v>91</v>
      </c>
      <c r="I23" s="1" t="s">
        <v>97</v>
      </c>
      <c r="J23" s="1" t="s">
        <v>30</v>
      </c>
      <c r="K23" s="1" t="s">
        <v>98</v>
      </c>
    </row>
    <row r="24" spans="1:11" ht="60" customHeight="1">
      <c r="A24" s="1" t="s">
        <v>63</v>
      </c>
      <c r="B24" s="1" t="s">
        <v>99</v>
      </c>
      <c r="C24" s="1">
        <v>1</v>
      </c>
      <c r="D24" s="1">
        <v>15</v>
      </c>
      <c r="E24" s="1">
        <v>15</v>
      </c>
      <c r="F24" s="1" t="s">
        <v>14</v>
      </c>
      <c r="G24" s="1">
        <v>0</v>
      </c>
      <c r="H24" s="1" t="s">
        <v>100</v>
      </c>
      <c r="I24" s="1" t="s">
        <v>101</v>
      </c>
      <c r="J24" s="1" t="s">
        <v>26</v>
      </c>
      <c r="K24" s="1" t="s">
        <v>102</v>
      </c>
    </row>
    <row r="25" spans="1:11" ht="60" customHeight="1">
      <c r="A25" s="1" t="s">
        <v>95</v>
      </c>
      <c r="B25" s="1" t="s">
        <v>103</v>
      </c>
      <c r="C25" s="1">
        <v>1</v>
      </c>
      <c r="D25" s="1">
        <v>12</v>
      </c>
      <c r="E25" s="1">
        <v>12</v>
      </c>
      <c r="F25" s="1" t="s">
        <v>14</v>
      </c>
      <c r="G25" s="1">
        <v>0</v>
      </c>
      <c r="H25" s="1" t="s">
        <v>104</v>
      </c>
      <c r="I25" s="1" t="s">
        <v>105</v>
      </c>
      <c r="J25" s="1" t="s">
        <v>106</v>
      </c>
      <c r="K25" s="1" t="s">
        <v>102</v>
      </c>
    </row>
    <row r="26" spans="1:11" ht="60" customHeight="1">
      <c r="A26" s="1" t="s">
        <v>107</v>
      </c>
      <c r="B26" s="1" t="s">
        <v>108</v>
      </c>
      <c r="C26" s="1">
        <v>1</v>
      </c>
      <c r="D26" s="1">
        <v>12</v>
      </c>
      <c r="E26" s="1">
        <v>12</v>
      </c>
      <c r="F26" s="1" t="s">
        <v>14</v>
      </c>
      <c r="G26" s="1">
        <v>0</v>
      </c>
      <c r="H26" s="1" t="s">
        <v>109</v>
      </c>
      <c r="I26" s="1" t="s">
        <v>110</v>
      </c>
      <c r="J26" s="1" t="s">
        <v>30</v>
      </c>
      <c r="K26" s="1" t="s">
        <v>111</v>
      </c>
    </row>
    <row r="27" spans="1:11" ht="60" customHeight="1">
      <c r="A27" s="1" t="s">
        <v>107</v>
      </c>
      <c r="B27" s="1" t="s">
        <v>112</v>
      </c>
      <c r="C27" s="1">
        <v>2</v>
      </c>
      <c r="D27" s="1">
        <v>14.9</v>
      </c>
      <c r="E27" s="1">
        <v>29.8</v>
      </c>
      <c r="G27" s="1">
        <v>29.8</v>
      </c>
      <c r="H27" s="1" t="s">
        <v>113</v>
      </c>
      <c r="I27" s="1" t="s">
        <v>114</v>
      </c>
      <c r="J27" s="1" t="s">
        <v>30</v>
      </c>
      <c r="K27" s="1" t="s">
        <v>115</v>
      </c>
    </row>
    <row r="28" spans="1:11" ht="60" customHeight="1">
      <c r="A28" s="1" t="s">
        <v>84</v>
      </c>
      <c r="B28" s="1" t="s">
        <v>116</v>
      </c>
      <c r="C28" s="1">
        <v>1</v>
      </c>
      <c r="D28" s="1">
        <v>5</v>
      </c>
      <c r="E28" s="1">
        <v>5</v>
      </c>
      <c r="G28" s="1">
        <v>5</v>
      </c>
      <c r="H28" s="1" t="s">
        <v>117</v>
      </c>
      <c r="I28" s="1" t="s">
        <v>118</v>
      </c>
      <c r="J28" s="1" t="s">
        <v>30</v>
      </c>
      <c r="K28" s="1" t="s">
        <v>119</v>
      </c>
    </row>
    <row r="29" spans="1:11" ht="60" customHeight="1">
      <c r="A29" s="1" t="s">
        <v>84</v>
      </c>
      <c r="B29" s="1" t="s">
        <v>120</v>
      </c>
      <c r="C29" s="1">
        <v>1</v>
      </c>
      <c r="D29" s="1">
        <v>8</v>
      </c>
      <c r="E29" s="1">
        <v>8</v>
      </c>
      <c r="G29" s="1">
        <v>0</v>
      </c>
      <c r="H29" s="1" t="s">
        <v>121</v>
      </c>
      <c r="I29" s="1" t="s">
        <v>122</v>
      </c>
      <c r="J29" s="1" t="s">
        <v>123</v>
      </c>
      <c r="K29" s="1" t="s">
        <v>32</v>
      </c>
    </row>
    <row r="30" spans="1:11" ht="60" customHeight="1">
      <c r="A30" s="1" t="s">
        <v>12</v>
      </c>
      <c r="B30" s="1" t="s">
        <v>124</v>
      </c>
      <c r="C30" s="1">
        <v>1</v>
      </c>
      <c r="D30" s="1">
        <v>5.9</v>
      </c>
      <c r="E30" s="1">
        <v>5.9</v>
      </c>
      <c r="G30" s="1">
        <v>5.9</v>
      </c>
      <c r="H30" s="1" t="s">
        <v>125</v>
      </c>
      <c r="I30" s="1" t="s">
        <v>126</v>
      </c>
      <c r="J30" s="1" t="s">
        <v>127</v>
      </c>
      <c r="K30" s="1" t="s">
        <v>128</v>
      </c>
    </row>
    <row r="31" spans="1:11" ht="60" customHeight="1">
      <c r="A31" s="1" t="s">
        <v>63</v>
      </c>
      <c r="B31" s="1" t="s">
        <v>129</v>
      </c>
      <c r="C31" s="1">
        <v>1</v>
      </c>
      <c r="D31" s="1">
        <v>10</v>
      </c>
      <c r="E31" s="1">
        <v>10</v>
      </c>
      <c r="G31" s="1">
        <v>10</v>
      </c>
      <c r="H31" s="1" t="s">
        <v>130</v>
      </c>
      <c r="I31" s="1" t="s">
        <v>131</v>
      </c>
      <c r="J31" s="1" t="s">
        <v>30</v>
      </c>
      <c r="K31" s="1" t="s">
        <v>132</v>
      </c>
    </row>
    <row r="32" spans="1:11" ht="60" customHeight="1">
      <c r="A32" s="1" t="s">
        <v>63</v>
      </c>
      <c r="B32" s="1" t="s">
        <v>133</v>
      </c>
      <c r="C32" s="1">
        <v>1</v>
      </c>
      <c r="D32" s="1">
        <v>40</v>
      </c>
      <c r="E32" s="1">
        <v>40</v>
      </c>
      <c r="G32" s="1">
        <v>40</v>
      </c>
      <c r="H32" s="1" t="s">
        <v>134</v>
      </c>
      <c r="I32" s="1" t="s">
        <v>135</v>
      </c>
      <c r="J32" s="1" t="s">
        <v>136</v>
      </c>
      <c r="K32" s="1" t="s">
        <v>137</v>
      </c>
    </row>
    <row r="33" spans="1:11" ht="60" customHeight="1">
      <c r="A33" s="1" t="s">
        <v>59</v>
      </c>
      <c r="B33" s="1" t="s">
        <v>138</v>
      </c>
      <c r="C33" s="1">
        <v>1</v>
      </c>
      <c r="D33" s="1">
        <v>4</v>
      </c>
      <c r="E33" s="1">
        <v>4</v>
      </c>
      <c r="G33" s="1">
        <v>4</v>
      </c>
      <c r="H33" s="1" t="s">
        <v>139</v>
      </c>
      <c r="I33" s="1" t="s">
        <v>35</v>
      </c>
      <c r="J33" s="1" t="s">
        <v>35</v>
      </c>
      <c r="K33" s="1" t="s">
        <v>140</v>
      </c>
    </row>
    <row r="34" spans="1:11" ht="60" customHeight="1">
      <c r="A34" s="1" t="s">
        <v>50</v>
      </c>
      <c r="B34" s="1" t="s">
        <v>141</v>
      </c>
      <c r="C34" s="1">
        <v>1</v>
      </c>
      <c r="D34" s="1">
        <v>0</v>
      </c>
      <c r="E34" s="1">
        <v>0</v>
      </c>
      <c r="F34" s="1" t="s">
        <v>14</v>
      </c>
      <c r="G34" s="1">
        <v>0</v>
      </c>
      <c r="H34" s="1" t="s">
        <v>142</v>
      </c>
      <c r="I34" s="1" t="s">
        <v>143</v>
      </c>
      <c r="J34" s="1" t="s">
        <v>144</v>
      </c>
      <c r="K34" s="1" t="s">
        <v>145</v>
      </c>
    </row>
    <row r="35" spans="1:11" ht="60" customHeight="1">
      <c r="A35" s="1" t="s">
        <v>50</v>
      </c>
      <c r="B35" s="1" t="s">
        <v>146</v>
      </c>
      <c r="C35" s="1">
        <v>1</v>
      </c>
      <c r="D35" s="1">
        <v>15</v>
      </c>
      <c r="E35" s="1">
        <v>15</v>
      </c>
      <c r="G35" s="1">
        <v>15</v>
      </c>
      <c r="H35" s="1" t="s">
        <v>147</v>
      </c>
      <c r="I35" s="1" t="s">
        <v>148</v>
      </c>
      <c r="J35" s="1" t="s">
        <v>35</v>
      </c>
      <c r="K35" s="1" t="s">
        <v>149</v>
      </c>
    </row>
    <row r="36" spans="1:11" ht="60" customHeight="1">
      <c r="A36" s="1" t="s">
        <v>50</v>
      </c>
      <c r="B36" s="1" t="s">
        <v>150</v>
      </c>
      <c r="C36" s="1">
        <v>1</v>
      </c>
      <c r="D36" s="1">
        <v>35</v>
      </c>
      <c r="E36" s="1">
        <v>35</v>
      </c>
      <c r="G36" s="1">
        <v>35</v>
      </c>
      <c r="H36" s="1" t="s">
        <v>151</v>
      </c>
      <c r="I36" s="1" t="s">
        <v>152</v>
      </c>
      <c r="J36" s="1" t="s">
        <v>153</v>
      </c>
      <c r="K36" s="1" t="s">
        <v>154</v>
      </c>
    </row>
    <row r="37" spans="1:11" ht="60" customHeight="1">
      <c r="A37" s="1" t="s">
        <v>50</v>
      </c>
      <c r="B37" s="1" t="s">
        <v>155</v>
      </c>
      <c r="C37" s="1">
        <v>1</v>
      </c>
      <c r="D37" s="1">
        <v>45</v>
      </c>
      <c r="E37" s="1">
        <v>45</v>
      </c>
      <c r="G37" s="1">
        <v>45</v>
      </c>
      <c r="H37" s="1" t="s">
        <v>156</v>
      </c>
      <c r="I37" s="1" t="s">
        <v>157</v>
      </c>
      <c r="J37" s="1" t="s">
        <v>35</v>
      </c>
      <c r="K37" s="1" t="s">
        <v>158</v>
      </c>
    </row>
    <row r="38" spans="1:11" ht="60" customHeight="1">
      <c r="A38" s="1" t="s">
        <v>50</v>
      </c>
      <c r="B38" s="1" t="s">
        <v>159</v>
      </c>
      <c r="C38" s="1">
        <v>1</v>
      </c>
      <c r="D38" s="1">
        <v>0</v>
      </c>
      <c r="E38" s="1">
        <v>0</v>
      </c>
      <c r="G38" s="1">
        <v>0</v>
      </c>
      <c r="H38" s="1" t="s">
        <v>35</v>
      </c>
      <c r="I38" s="1" t="s">
        <v>35</v>
      </c>
      <c r="J38" s="1" t="s">
        <v>35</v>
      </c>
      <c r="K38" s="1" t="s">
        <v>166</v>
      </c>
    </row>
    <row r="40" spans="1:11">
      <c r="F40" s="1" t="s">
        <v>163</v>
      </c>
      <c r="G40" s="3">
        <f>SUM(G4:G38)</f>
        <v>609.69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25.7109375" style="1" customWidth="1"/>
  </cols>
  <sheetData>
    <row r="1" spans="1:1" ht="50" customHeight="1">
      <c r="A1" s="1" t="s">
        <v>167</v>
      </c>
    </row>
    <row r="2" spans="1:1" ht="50" customHeight="1">
      <c r="A2" s="1" t="s">
        <v>168</v>
      </c>
    </row>
    <row r="3" spans="1:1" ht="50" customHeight="1">
      <c r="A3" s="1" t="s">
        <v>169</v>
      </c>
    </row>
    <row r="4" spans="1:1" ht="50" customHeight="1">
      <c r="A4" s="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600 EUR staged</vt:lpstr>
      <vt:lpstr>All four ToF</vt:lpstr>
      <vt:lpstr>Read 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2026-10-02T14:06:40Z</dcterms:created>
  <dcterms:modified xsi:type="dcterms:W3CDTF">2026-10-02T14:06:40Z</dcterms:modified>
</cp:coreProperties>
</file>